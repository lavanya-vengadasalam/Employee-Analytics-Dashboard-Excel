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xr:revisionPtr revIDLastSave="0" documentId="8_{F223A562-9037-4A15-8F24-A99B9772DA5D}" xr6:coauthVersionLast="47" xr6:coauthVersionMax="47" xr10:uidLastSave="{00000000-0000-0000-0000-000000000000}"/>
  <bookViews>
    <workbookView xWindow="240" yWindow="105" windowWidth="14805" windowHeight="8010" firstSheet="3" activeTab="6" xr2:uid="{00000000-000D-0000-FFFF-FFFF00000000}"/>
  </bookViews>
  <sheets>
    <sheet name="Raw_Data" sheetId="1" r:id="rId1"/>
    <sheet name="Clean_Data" sheetId="2" r:id="rId2"/>
    <sheet name="Pivot_Analysis" sheetId="3" r:id="rId3"/>
    <sheet name="Dashboard_1" sheetId="4" r:id="rId4"/>
    <sheet name="Dashboard_2" sheetId="5" r:id="rId5"/>
    <sheet name="Dashboard_3" sheetId="6" r:id="rId6"/>
    <sheet name="Dashboard_4" sheetId="7" r:id="rId7"/>
  </sheets>
  <calcPr calcId="191028"/>
  <pivotCaches>
    <pivotCache cacheId="4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7" l="1"/>
  <c r="G3" i="7"/>
  <c r="D3" i="7"/>
  <c r="A3" i="7"/>
  <c r="J3" i="6"/>
  <c r="G3" i="6"/>
  <c r="D3" i="6"/>
  <c r="A3" i="6"/>
  <c r="J3" i="5"/>
  <c r="G3" i="5"/>
  <c r="D3" i="5"/>
  <c r="A3" i="5"/>
  <c r="A3" i="4"/>
  <c r="D3" i="4"/>
  <c r="G3" i="4"/>
  <c r="J3" i="4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2" i="2"/>
</calcChain>
</file>

<file path=xl/sharedStrings.xml><?xml version="1.0" encoding="utf-8"?>
<sst xmlns="http://schemas.openxmlformats.org/spreadsheetml/2006/main" count="1564" uniqueCount="336">
  <si>
    <t>Employee_ID</t>
  </si>
  <si>
    <t>First_Name</t>
  </si>
  <si>
    <t>Last_Name</t>
  </si>
  <si>
    <t>Full_Name</t>
  </si>
  <si>
    <t>Email</t>
  </si>
  <si>
    <t>Department</t>
  </si>
  <si>
    <t>Job_Title</t>
  </si>
  <si>
    <t>City</t>
  </si>
  <si>
    <t>State</t>
  </si>
  <si>
    <t>Work_Mode</t>
  </si>
  <si>
    <t>Employment_Type</t>
  </si>
  <si>
    <t>Joining_Year</t>
  </si>
  <si>
    <t>Experience_Years</t>
  </si>
  <si>
    <t>Annual_Salary</t>
  </si>
  <si>
    <t>Bonus_Percentage</t>
  </si>
  <si>
    <t>Bonus_Amount</t>
  </si>
  <si>
    <t>Performance_Score</t>
  </si>
  <si>
    <t>Performance_Rating</t>
  </si>
  <si>
    <t>Status</t>
  </si>
  <si>
    <t>Education</t>
  </si>
  <si>
    <t>Skills</t>
  </si>
  <si>
    <t>Projects_Count</t>
  </si>
  <si>
    <t>Leave_Balance_Days</t>
  </si>
  <si>
    <t>Arun</t>
  </si>
  <si>
    <t>Kumar</t>
  </si>
  <si>
    <t>Arun Kumar</t>
  </si>
  <si>
    <t>arun.kumar@example.com</t>
  </si>
  <si>
    <t>IT</t>
  </si>
  <si>
    <t>Data Engineer</t>
  </si>
  <si>
    <t>Chennai</t>
  </si>
  <si>
    <t>Tamil Nadu</t>
  </si>
  <si>
    <t>Hybrid</t>
  </si>
  <si>
    <t>Full-Time</t>
  </si>
  <si>
    <t>Good</t>
  </si>
  <si>
    <t>Active</t>
  </si>
  <si>
    <t>B.Tech</t>
  </si>
  <si>
    <t>Python;SQL;Cloud;Git;Spark</t>
  </si>
  <si>
    <t>Priya</t>
  </si>
  <si>
    <t>Sharma</t>
  </si>
  <si>
    <t>Priya Sharma</t>
  </si>
  <si>
    <t>priya.sharma@example.com</t>
  </si>
  <si>
    <t>HR</t>
  </si>
  <si>
    <t>HR Manager</t>
  </si>
  <si>
    <t>Bengaluru</t>
  </si>
  <si>
    <t>Karnataka</t>
  </si>
  <si>
    <t>Excellent</t>
  </si>
  <si>
    <t>MBA</t>
  </si>
  <si>
    <t>Recruitment;Excel;HRIS;Communication</t>
  </si>
  <si>
    <t>David</t>
  </si>
  <si>
    <t>Wilson</t>
  </si>
  <si>
    <t>David Wilson</t>
  </si>
  <si>
    <t>david.wilson@example.com</t>
  </si>
  <si>
    <t>Senior Data Engineer</t>
  </si>
  <si>
    <t>Remote</t>
  </si>
  <si>
    <t>Meena</t>
  </si>
  <si>
    <t>Ravi</t>
  </si>
  <si>
    <t>Meena Ravi</t>
  </si>
  <si>
    <t>meena.ravi@example.com</t>
  </si>
  <si>
    <t>Finance</t>
  </si>
  <si>
    <t>Financial Analyst</t>
  </si>
  <si>
    <t>Hyderabad</t>
  </si>
  <si>
    <t>Telangana</t>
  </si>
  <si>
    <t>Office</t>
  </si>
  <si>
    <t>Average</t>
  </si>
  <si>
    <t>M.Com</t>
  </si>
  <si>
    <t>Excel;Accounting;Power BI;Financial Analysis</t>
  </si>
  <si>
    <t>Rahul</t>
  </si>
  <si>
    <t>Verma</t>
  </si>
  <si>
    <t>Rahul Verma</t>
  </si>
  <si>
    <t>rahul.verma@example.com</t>
  </si>
  <si>
    <t>Cloud Engineer</t>
  </si>
  <si>
    <t>Sneha</t>
  </si>
  <si>
    <t>Iyer</t>
  </si>
  <si>
    <t>Sneha Iyer</t>
  </si>
  <si>
    <t>sneha.iyer@example.com</t>
  </si>
  <si>
    <t>Finance Manager</t>
  </si>
  <si>
    <t>Kiran</t>
  </si>
  <si>
    <t>Reddy</t>
  </si>
  <si>
    <t>Kiran Reddy</t>
  </si>
  <si>
    <t>kiran.reddy@example.com</t>
  </si>
  <si>
    <t>Sales</t>
  </si>
  <si>
    <t>Sales Executive</t>
  </si>
  <si>
    <t>CRM;Negotiation;Excel;Communication</t>
  </si>
  <si>
    <t>Anitha</t>
  </si>
  <si>
    <t>Joseph</t>
  </si>
  <si>
    <t>Anitha Joseph</t>
  </si>
  <si>
    <t>Sales Manager</t>
  </si>
  <si>
    <t>Vijay</t>
  </si>
  <si>
    <t>Vijay Kumar</t>
  </si>
  <si>
    <t>vijay.kumar@example.com</t>
  </si>
  <si>
    <t>DevOps Engineer</t>
  </si>
  <si>
    <t>Divya</t>
  </si>
  <si>
    <t>Nair</t>
  </si>
  <si>
    <t>Divya Nair</t>
  </si>
  <si>
    <t>divya.nair@example.com</t>
  </si>
  <si>
    <t>Recruiter</t>
  </si>
  <si>
    <t>Kochi</t>
  </si>
  <si>
    <t>Kerala</t>
  </si>
  <si>
    <t>John</t>
  </si>
  <si>
    <t>Mathew</t>
  </si>
  <si>
    <t>John Mathew</t>
  </si>
  <si>
    <t>john.mathew@example.com</t>
  </si>
  <si>
    <t>Software Engineer</t>
  </si>
  <si>
    <t>Pune</t>
  </si>
  <si>
    <t>Maharashtra</t>
  </si>
  <si>
    <t>Lakshmi</t>
  </si>
  <si>
    <t>Devi</t>
  </si>
  <si>
    <t>Lakshmi Devi</t>
  </si>
  <si>
    <t>lakshmi.devi@example.com</t>
  </si>
  <si>
    <t>Senior Accountant</t>
  </si>
  <si>
    <t>Suresh</t>
  </si>
  <si>
    <t>Babu</t>
  </si>
  <si>
    <t>Suresh Babu</t>
  </si>
  <si>
    <t>suresh.babu@example.com</t>
  </si>
  <si>
    <t>Operations</t>
  </si>
  <si>
    <t>Operations Manager</t>
  </si>
  <si>
    <t>Excel;SQL;Power BI;Process Management</t>
  </si>
  <si>
    <t>Nandhini</t>
  </si>
  <si>
    <t>Raj</t>
  </si>
  <si>
    <t>Nandhini Raj</t>
  </si>
  <si>
    <t>nandhini.raj@example.com</t>
  </si>
  <si>
    <t>Marketing</t>
  </si>
  <si>
    <t>Marketing Executive</t>
  </si>
  <si>
    <t>SEO;Google Analytics;Content;Social Media</t>
  </si>
  <si>
    <t>Prakash</t>
  </si>
  <si>
    <t>Ravi Prakash</t>
  </si>
  <si>
    <t>ravi.prakash@example.com</t>
  </si>
  <si>
    <t>Python Developer</t>
  </si>
  <si>
    <t>Asha</t>
  </si>
  <si>
    <t>Menon</t>
  </si>
  <si>
    <t>Asha Menon</t>
  </si>
  <si>
    <t>asha.menon@example.com</t>
  </si>
  <si>
    <t>HR Executive</t>
  </si>
  <si>
    <t>Manoj</t>
  </si>
  <si>
    <t>Singh</t>
  </si>
  <si>
    <t>Manoj Singh</t>
  </si>
  <si>
    <t>manoj.singh@example.com</t>
  </si>
  <si>
    <t>Business Development Executive</t>
  </si>
  <si>
    <t>Delhi</t>
  </si>
  <si>
    <t>Deepa</t>
  </si>
  <si>
    <t>Krishnan</t>
  </si>
  <si>
    <t>Deepa Krishnan</t>
  </si>
  <si>
    <t>deepa.krishnan@example.com</t>
  </si>
  <si>
    <t>BI Developer</t>
  </si>
  <si>
    <t>Gokul</t>
  </si>
  <si>
    <t>Gokul Raj</t>
  </si>
  <si>
    <t>gokul.raj@example.com</t>
  </si>
  <si>
    <t>Operations Executive</t>
  </si>
  <si>
    <t>Coimbatore</t>
  </si>
  <si>
    <t>Swathi</t>
  </si>
  <si>
    <t>Rao</t>
  </si>
  <si>
    <t>Swathi Rao</t>
  </si>
  <si>
    <t>swathi.rao@example.com</t>
  </si>
  <si>
    <t>Digital Marketing Specialist</t>
  </si>
  <si>
    <t>Karthik</t>
  </si>
  <si>
    <t>Mohan</t>
  </si>
  <si>
    <t>Karthik Mohan</t>
  </si>
  <si>
    <t>karthik.mohan@example.com</t>
  </si>
  <si>
    <t>Azure Data Engineer</t>
  </si>
  <si>
    <t>Neha</t>
  </si>
  <si>
    <t>Gupta</t>
  </si>
  <si>
    <t>Neha Gupta</t>
  </si>
  <si>
    <t>neha.gupta@example.com</t>
  </si>
  <si>
    <t>Finance Executive</t>
  </si>
  <si>
    <t>Vishnu</t>
  </si>
  <si>
    <t>Vishnu Menon</t>
  </si>
  <si>
    <t>vishnu.menon@example.com</t>
  </si>
  <si>
    <t>Database Administrator</t>
  </si>
  <si>
    <t>Pooja</t>
  </si>
  <si>
    <t>Patel</t>
  </si>
  <si>
    <t>Pooja Patel</t>
  </si>
  <si>
    <t>pooja.patel@example.com</t>
  </si>
  <si>
    <t>Ahmedabad</t>
  </si>
  <si>
    <t>Gujarat</t>
  </si>
  <si>
    <t>Harish</t>
  </si>
  <si>
    <t>Harish Kumar</t>
  </si>
  <si>
    <t>harish.kumar@example.com</t>
  </si>
  <si>
    <t>Business Analyst</t>
  </si>
  <si>
    <t>Keerthi</t>
  </si>
  <si>
    <t>Ramesh</t>
  </si>
  <si>
    <t>Keerthi Ramesh</t>
  </si>
  <si>
    <t>keerthi.ramesh@example.com</t>
  </si>
  <si>
    <t>Machine Learning Engineer</t>
  </si>
  <si>
    <t>Sanjay</t>
  </si>
  <si>
    <t>Das</t>
  </si>
  <si>
    <t>Sanjay Das</t>
  </si>
  <si>
    <t>sanjay.das@example.com</t>
  </si>
  <si>
    <t>Senior Financial Analyst</t>
  </si>
  <si>
    <t>Kolkata</t>
  </si>
  <si>
    <t>West Bengal</t>
  </si>
  <si>
    <t>Maya</t>
  </si>
  <si>
    <t>Thomas</t>
  </si>
  <si>
    <t>Maya Thomas</t>
  </si>
  <si>
    <t>maya.thomas@example.com</t>
  </si>
  <si>
    <t>Talent Acquisition Specialist</t>
  </si>
  <si>
    <t>Ajay</t>
  </si>
  <si>
    <t>Rajan</t>
  </si>
  <si>
    <t>Ajay Rajan</t>
  </si>
  <si>
    <t>ajay.rajan@example.com</t>
  </si>
  <si>
    <t>Full Stack Developer</t>
  </si>
  <si>
    <t>Roshini</t>
  </si>
  <si>
    <t>Paul</t>
  </si>
  <si>
    <t>Roshini Paul</t>
  </si>
  <si>
    <t>roshini.paul@example.com</t>
  </si>
  <si>
    <t>Content Strategist</t>
  </si>
  <si>
    <t>Bharath</t>
  </si>
  <si>
    <t>Bharath Rao</t>
  </si>
  <si>
    <t>bharath.rao@example.com</t>
  </si>
  <si>
    <t>Cloud Architect</t>
  </si>
  <si>
    <t>Ishita</t>
  </si>
  <si>
    <t>Roy</t>
  </si>
  <si>
    <t>Ishita Roy</t>
  </si>
  <si>
    <t>ishita.roy@example.com</t>
  </si>
  <si>
    <t>Naveen</t>
  </si>
  <si>
    <t>Naveen Kumar</t>
  </si>
  <si>
    <t>naveen.kumar@example.com</t>
  </si>
  <si>
    <t>Regional Sales Manager</t>
  </si>
  <si>
    <t>Harini</t>
  </si>
  <si>
    <t>S</t>
  </si>
  <si>
    <t>Harini S</t>
  </si>
  <si>
    <t>harini.s@example.com</t>
  </si>
  <si>
    <t>QA Engineer</t>
  </si>
  <si>
    <t>Mohan Raj</t>
  </si>
  <si>
    <t>mohan.raj@example.com</t>
  </si>
  <si>
    <t>Supply Chain Analyst</t>
  </si>
  <si>
    <t>Aparna</t>
  </si>
  <si>
    <t>Krish</t>
  </si>
  <si>
    <t>Aparna Krish</t>
  </si>
  <si>
    <t>aparna.krish@example.com</t>
  </si>
  <si>
    <t>Learning Specialist</t>
  </si>
  <si>
    <t>Dinesh</t>
  </si>
  <si>
    <t>Yadav</t>
  </si>
  <si>
    <t>Dinesh Yadav</t>
  </si>
  <si>
    <t>dinesh.yadav@example.com</t>
  </si>
  <si>
    <t>Network Engineer</t>
  </si>
  <si>
    <t>Sangeetha</t>
  </si>
  <si>
    <t>M</t>
  </si>
  <si>
    <t>Sangeetha M</t>
  </si>
  <si>
    <t>sangeetha.m@example.com</t>
  </si>
  <si>
    <t>Marketing Manager</t>
  </si>
  <si>
    <t>N</t>
  </si>
  <si>
    <t>Prakash N</t>
  </si>
  <si>
    <t>prakash.n@example.com</t>
  </si>
  <si>
    <t>Data Analyst</t>
  </si>
  <si>
    <t>Gayathri</t>
  </si>
  <si>
    <t>K</t>
  </si>
  <si>
    <t>Gayathri K</t>
  </si>
  <si>
    <t>gayathri.k@example.com</t>
  </si>
  <si>
    <t>Accounts Executive</t>
  </si>
  <si>
    <t>Madurai</t>
  </si>
  <si>
    <t>Rohit</t>
  </si>
  <si>
    <t>Mehta</t>
  </si>
  <si>
    <t>Rohit Mehta</t>
  </si>
  <si>
    <t>rohit.mehta@example.com</t>
  </si>
  <si>
    <t>Account Manager</t>
  </si>
  <si>
    <t>Mumbai</t>
  </si>
  <si>
    <t>Janani</t>
  </si>
  <si>
    <t>R</t>
  </si>
  <si>
    <t>Janani R</t>
  </si>
  <si>
    <t>janani.r@example.com</t>
  </si>
  <si>
    <t>Power BI Developer</t>
  </si>
  <si>
    <t>Faizal</t>
  </si>
  <si>
    <t>Ahmed</t>
  </si>
  <si>
    <t>Faizal Ahmed</t>
  </si>
  <si>
    <t>faizal.ahmed@example.com</t>
  </si>
  <si>
    <t>Operations Analyst</t>
  </si>
  <si>
    <t>Swetha</t>
  </si>
  <si>
    <t>Swetha R</t>
  </si>
  <si>
    <t>swetha.r@example.com</t>
  </si>
  <si>
    <t>HR Business Partner</t>
  </si>
  <si>
    <t>Ashwin</t>
  </si>
  <si>
    <t>Ashwin Kumar</t>
  </si>
  <si>
    <t>ashwin.kumar@example.com</t>
  </si>
  <si>
    <t>Site Reliability Engineer</t>
  </si>
  <si>
    <t>Monica</t>
  </si>
  <si>
    <t>D</t>
  </si>
  <si>
    <t>Monica D</t>
  </si>
  <si>
    <t>monica.d@example.com</t>
  </si>
  <si>
    <t>Financial Controller</t>
  </si>
  <si>
    <t>Tarun</t>
  </si>
  <si>
    <t>Shah</t>
  </si>
  <si>
    <t>Tarun Shah</t>
  </si>
  <si>
    <t>tarun.shah@example.com</t>
  </si>
  <si>
    <t>Needs Improvement</t>
  </si>
  <si>
    <t>Revathi</t>
  </si>
  <si>
    <t>Revathi S</t>
  </si>
  <si>
    <t>revathi.s@example.com</t>
  </si>
  <si>
    <t>ETL Developer</t>
  </si>
  <si>
    <t>Imran</t>
  </si>
  <si>
    <t>Khan</t>
  </si>
  <si>
    <t>Imran Khan</t>
  </si>
  <si>
    <t>imran.khan@example.com</t>
  </si>
  <si>
    <t>Project Coordinator</t>
  </si>
  <si>
    <t>Kavya</t>
  </si>
  <si>
    <t>Kavya R</t>
  </si>
  <si>
    <t>kavya.r@example.com</t>
  </si>
  <si>
    <t>Brand Manager</t>
  </si>
  <si>
    <t>Email_Check</t>
  </si>
  <si>
    <t>Skills_Check</t>
  </si>
  <si>
    <t>Education_Check</t>
  </si>
  <si>
    <t>Leave_Check</t>
  </si>
  <si>
    <t>Calculated_Full_Name</t>
  </si>
  <si>
    <t>Calculated_Bonus</t>
  </si>
  <si>
    <t>Salary_Band</t>
  </si>
  <si>
    <t>Experience_Band</t>
  </si>
  <si>
    <t>Performance_Check</t>
  </si>
  <si>
    <t>Count of Employee_ID</t>
  </si>
  <si>
    <t>Sum of Annual_Salary</t>
  </si>
  <si>
    <t>Grand Total</t>
  </si>
  <si>
    <t>Sum of Bonus_Amount</t>
  </si>
  <si>
    <t>Junior</t>
  </si>
  <si>
    <t>Mid-Level</t>
  </si>
  <si>
    <t>Senior</t>
  </si>
  <si>
    <t>High</t>
  </si>
  <si>
    <t>Low</t>
  </si>
  <si>
    <t>Medium</t>
  </si>
  <si>
    <t>Average of Performance_Score</t>
  </si>
  <si>
    <t>Sum of Performance_Score</t>
  </si>
  <si>
    <t>(blank)</t>
  </si>
  <si>
    <t>EMPLOYEE OVERVIEW DASHBOARD</t>
  </si>
  <si>
    <t>TOTAL EMPLOYEES</t>
  </si>
  <si>
    <t>TOTAL ANNUAL SALARY</t>
  </si>
  <si>
    <t>AVERAGE ANNUAL SALARY</t>
  </si>
  <si>
    <t>TOTAL PROJECTS</t>
  </si>
  <si>
    <t>SALARY &amp; COMPENSATION DASHBOARD</t>
  </si>
  <si>
    <t>HIGHEST ANNUAL SALARY</t>
  </si>
  <si>
    <t>TOTAL BONUS AMOUNT</t>
  </si>
  <si>
    <t>EMPLOYEE PERFORMANCE DASHBOARD</t>
  </si>
  <si>
    <t>AVERAGE PERFORMANCE SCORE</t>
  </si>
  <si>
    <t>TOP PERFORMANCE SCORE</t>
  </si>
  <si>
    <t>EMPLOYEES MEETING TARGET</t>
  </si>
  <si>
    <t>WORKFORCE &amp; EXPERIENCE DASHBOARD</t>
  </si>
  <si>
    <t>Total Employees</t>
  </si>
  <si>
    <t>Average Experience</t>
  </si>
  <si>
    <t>Active Employees</t>
  </si>
  <si>
    <t>Total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</si>
</sst>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9]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3DA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5A1C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9BE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6" fillId="0" borderId="0" xfId="0" applyFont="1"/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C9BED1"/>
      <color rgb="FFB5A1C4"/>
      <color rgb="FFE3D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Pivot_Analysis!$B$4:$B$10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18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A-45A5-8228-45E45ADCDC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5043591"/>
        <c:axId val="1975055367"/>
      </c:barChart>
      <c:catAx>
        <c:axId val="197504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55367"/>
        <c:crosses val="autoZero"/>
        <c:auto val="1"/>
        <c:lblAlgn val="ctr"/>
        <c:lblOffset val="100"/>
        <c:noMultiLvlLbl val="0"/>
      </c:catAx>
      <c:valAx>
        <c:axId val="1975055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43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Work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DA-4E7A-8310-1F00577F3E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DA-4E7A-8310-1F00577F3E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DA-4E7A-8310-1F00577F3E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Pivot_Analysis!$A$28:$A$31</c:f>
              <c:strCache>
                <c:ptCount val="3"/>
                <c:pt idx="0">
                  <c:v>Hybrid</c:v>
                </c:pt>
                <c:pt idx="1">
                  <c:v>Office</c:v>
                </c:pt>
                <c:pt idx="2">
                  <c:v>Remote</c:v>
                </c:pt>
              </c:strCache>
            </c:strRef>
          </c:cat>
          <c:val>
            <c:numRef>
              <c:f>Pivot_Analysis!$B$28:$B$31</c:f>
              <c:numCache>
                <c:formatCode>General</c:formatCode>
                <c:ptCount val="3"/>
                <c:pt idx="0">
                  <c:v>23</c:v>
                </c:pt>
                <c:pt idx="1">
                  <c:v>17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DA-4E7A-8310-1F00577F3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Pivot_Analysis!$F$27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Pivot_Analysis!$E$28:$E$36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Pivot_Analysis!$F$28:$F$36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7</c:v>
                </c:pt>
                <c:pt idx="5">
                  <c:v>15</c:v>
                </c:pt>
                <c:pt idx="6">
                  <c:v>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D-45CE-86E0-C916D3C5E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4775047"/>
        <c:axId val="2034777095"/>
      </c:barChart>
      <c:catAx>
        <c:axId val="2034775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77095"/>
        <c:crosses val="autoZero"/>
        <c:auto val="1"/>
        <c:lblAlgn val="ctr"/>
        <c:lblOffset val="100"/>
        <c:noMultiLvlLbl val="0"/>
      </c:catAx>
      <c:valAx>
        <c:axId val="2034777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7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Annual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Pivot_Analysis!$E$4:$E$10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Pivot_Analysis!$F$4:$F$10</c:f>
              <c:numCache>
                <c:formatCode>General</c:formatCode>
                <c:ptCount val="6"/>
                <c:pt idx="0">
                  <c:v>572000</c:v>
                </c:pt>
                <c:pt idx="1">
                  <c:v>377000</c:v>
                </c:pt>
                <c:pt idx="2">
                  <c:v>1435000</c:v>
                </c:pt>
                <c:pt idx="3">
                  <c:v>351000</c:v>
                </c:pt>
                <c:pt idx="4">
                  <c:v>376000</c:v>
                </c:pt>
                <c:pt idx="5">
                  <c:v>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FC7-AB1B-90B052B96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134920"/>
        <c:axId val="980141576"/>
      </c:barChart>
      <c:catAx>
        <c:axId val="98013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41576"/>
        <c:crosses val="autoZero"/>
        <c:auto val="1"/>
        <c:lblAlgn val="ctr"/>
        <c:lblOffset val="100"/>
        <c:noMultiLvlLbl val="0"/>
      </c:catAx>
      <c:valAx>
        <c:axId val="98014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3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Bonus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Pivot_Analysis!$A$16:$A$22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Pivot_Analysis!$B$16:$B$22</c:f>
              <c:numCache>
                <c:formatCode>General</c:formatCode>
                <c:ptCount val="6"/>
                <c:pt idx="0">
                  <c:v>61580</c:v>
                </c:pt>
                <c:pt idx="1">
                  <c:v>43490</c:v>
                </c:pt>
                <c:pt idx="2">
                  <c:v>183910</c:v>
                </c:pt>
                <c:pt idx="3">
                  <c:v>42560</c:v>
                </c:pt>
                <c:pt idx="4">
                  <c:v>37030</c:v>
                </c:pt>
                <c:pt idx="5">
                  <c:v>45240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6-49E2-9E4D-97FA4D384E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5683592"/>
        <c:axId val="855685640"/>
      </c:barChart>
      <c:catAx>
        <c:axId val="85568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85640"/>
        <c:crosses val="autoZero"/>
        <c:auto val="1"/>
        <c:lblAlgn val="ctr"/>
        <c:lblOffset val="100"/>
        <c:noMultiLvlLbl val="0"/>
      </c:catAx>
      <c:valAx>
        <c:axId val="85568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8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Salary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Pivot_Analysis!$A$52:$A$55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Pivot_Analysis!$B$52:$B$55</c:f>
              <c:numCache>
                <c:formatCode>General</c:formatCode>
                <c:ptCount val="3"/>
                <c:pt idx="0">
                  <c:v>8</c:v>
                </c:pt>
                <c:pt idx="1">
                  <c:v>15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E-47B4-ABBE-3703EEC29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247176"/>
        <c:axId val="714249224"/>
      </c:barChart>
      <c:catAx>
        <c:axId val="71424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249224"/>
        <c:crosses val="autoZero"/>
        <c:auto val="1"/>
        <c:lblAlgn val="ctr"/>
        <c:lblOffset val="100"/>
        <c:noMultiLvlLbl val="0"/>
      </c:catAx>
      <c:valAx>
        <c:axId val="71424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24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Performance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Pivot_Analysis!$E$16:$E$20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Needs Improvement</c:v>
                </c:pt>
              </c:strCache>
            </c:strRef>
          </c:cat>
          <c:val>
            <c:numRef>
              <c:f>Pivot_Analysis!$F$16:$F$20</c:f>
              <c:numCache>
                <c:formatCode>General</c:formatCode>
                <c:ptCount val="4"/>
                <c:pt idx="0">
                  <c:v>9</c:v>
                </c:pt>
                <c:pt idx="1">
                  <c:v>18</c:v>
                </c:pt>
                <c:pt idx="2">
                  <c:v>22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0-44C9-8FB5-EE1501A9BA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5687176"/>
        <c:axId val="896677896"/>
      </c:barChart>
      <c:catAx>
        <c:axId val="85568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677896"/>
        <c:crosses val="autoZero"/>
        <c:auto val="1"/>
        <c:lblAlgn val="ctr"/>
        <c:lblOffset val="100"/>
        <c:noMultiLvlLbl val="0"/>
      </c:catAx>
      <c:valAx>
        <c:axId val="89667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8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Score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Pivot_Analysis!$A$64:$A$70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Pivot_Analysis!$B$64:$B$70</c:f>
              <c:numCache>
                <c:formatCode>General</c:formatCode>
                <c:ptCount val="6"/>
                <c:pt idx="0">
                  <c:v>83.875</c:v>
                </c:pt>
                <c:pt idx="1">
                  <c:v>86.666666666666671</c:v>
                </c:pt>
                <c:pt idx="2">
                  <c:v>89.388888888888886</c:v>
                </c:pt>
                <c:pt idx="3">
                  <c:v>87.8</c:v>
                </c:pt>
                <c:pt idx="4">
                  <c:v>82.333333333333329</c:v>
                </c:pt>
                <c:pt idx="5">
                  <c:v>80.571428571428569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2-4E21-9687-20610D101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963336"/>
        <c:axId val="914642440"/>
      </c:barChart>
      <c:catAx>
        <c:axId val="90896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42440"/>
        <c:crosses val="autoZero"/>
        <c:auto val="1"/>
        <c:lblAlgn val="ctr"/>
        <c:lblOffset val="100"/>
        <c:noMultiLvlLbl val="0"/>
      </c:catAx>
      <c:valAx>
        <c:axId val="914642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6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Employees by Performance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Pivot_Analysis!$F$63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Pivot_Analysis!$E$64:$E$74</c:f>
              <c:strCache>
                <c:ptCount val="10"/>
                <c:pt idx="0">
                  <c:v>Keerthi Ramesh</c:v>
                </c:pt>
                <c:pt idx="1">
                  <c:v>Ashwin Kumar</c:v>
                </c:pt>
                <c:pt idx="2">
                  <c:v>Karthik Mohan</c:v>
                </c:pt>
                <c:pt idx="3">
                  <c:v>David Wilson</c:v>
                </c:pt>
                <c:pt idx="4">
                  <c:v>Bharath Rao</c:v>
                </c:pt>
                <c:pt idx="5">
                  <c:v>Janani R</c:v>
                </c:pt>
                <c:pt idx="6">
                  <c:v>Vijay Kumar</c:v>
                </c:pt>
                <c:pt idx="7">
                  <c:v>Monica D</c:v>
                </c:pt>
                <c:pt idx="8">
                  <c:v>Naveen Kumar</c:v>
                </c:pt>
                <c:pt idx="9">
                  <c:v>Ravi Prakash</c:v>
                </c:pt>
              </c:strCache>
            </c:strRef>
          </c:cat>
          <c:val>
            <c:numRef>
              <c:f>Pivot_Analysis!$F$64:$F$74</c:f>
              <c:numCache>
                <c:formatCode>General</c:formatCode>
                <c:ptCount val="10"/>
                <c:pt idx="0">
                  <c:v>97</c:v>
                </c:pt>
                <c:pt idx="1">
                  <c:v>96</c:v>
                </c:pt>
                <c:pt idx="2">
                  <c:v>96</c:v>
                </c:pt>
                <c:pt idx="3">
                  <c:v>95</c:v>
                </c:pt>
                <c:pt idx="4">
                  <c:v>95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93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A-4FB3-8157-BF3D51A88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688200"/>
        <c:axId val="896678408"/>
      </c:barChart>
      <c:catAx>
        <c:axId val="85568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678408"/>
        <c:crosses val="autoZero"/>
        <c:auto val="1"/>
        <c:lblAlgn val="ctr"/>
        <c:lblOffset val="100"/>
        <c:noMultiLvlLbl val="0"/>
      </c:catAx>
      <c:valAx>
        <c:axId val="89667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8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Experience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Pivot_Analysis!$F$39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Pivot_Analysis!$E$40:$E$43</c:f>
              <c:strCache>
                <c:ptCount val="3"/>
                <c:pt idx="0">
                  <c:v>Junior</c:v>
                </c:pt>
                <c:pt idx="1">
                  <c:v>Mid-Level</c:v>
                </c:pt>
                <c:pt idx="2">
                  <c:v>Senior</c:v>
                </c:pt>
              </c:strCache>
            </c:strRef>
          </c:cat>
          <c:val>
            <c:numRef>
              <c:f>Pivot_Analysis!$F$40:$F$43</c:f>
              <c:numCache>
                <c:formatCode>General</c:formatCode>
                <c:ptCount val="3"/>
                <c:pt idx="0">
                  <c:v>14</c:v>
                </c:pt>
                <c:pt idx="1">
                  <c:v>21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F-42BE-A864-89078C478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5640584"/>
        <c:axId val="855688712"/>
      </c:barChart>
      <c:catAx>
        <c:axId val="85564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88712"/>
        <c:crosses val="autoZero"/>
        <c:auto val="1"/>
        <c:lblAlgn val="ctr"/>
        <c:lblOffset val="100"/>
        <c:noMultiLvlLbl val="0"/>
      </c:catAx>
      <c:valAx>
        <c:axId val="85568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4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Work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Pivot_Analysis!$A$28:$A$31</c:f>
              <c:strCache>
                <c:ptCount val="3"/>
                <c:pt idx="0">
                  <c:v>Hybrid</c:v>
                </c:pt>
                <c:pt idx="1">
                  <c:v>Office</c:v>
                </c:pt>
                <c:pt idx="2">
                  <c:v>Remote</c:v>
                </c:pt>
              </c:strCache>
            </c:strRef>
          </c:cat>
          <c:val>
            <c:numRef>
              <c:f>Pivot_Analysis!$B$28:$B$31</c:f>
              <c:numCache>
                <c:formatCode>General</c:formatCode>
                <c:ptCount val="3"/>
                <c:pt idx="0">
                  <c:v>23</c:v>
                </c:pt>
                <c:pt idx="1">
                  <c:v>17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2-4BBD-820A-ED66591D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670344"/>
        <c:axId val="1094673416"/>
      </c:barChart>
      <c:catAx>
        <c:axId val="109467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73416"/>
        <c:crosses val="autoZero"/>
        <c:auto val="1"/>
        <c:lblAlgn val="ctr"/>
        <c:lblOffset val="100"/>
        <c:noMultiLvlLbl val="0"/>
      </c:catAx>
      <c:valAx>
        <c:axId val="109467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7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Pivot_Analysis!$A$76:$A$80</c:f>
              <c:strCache>
                <c:ptCount val="4"/>
                <c:pt idx="0">
                  <c:v>B.Tech</c:v>
                </c:pt>
                <c:pt idx="1">
                  <c:v>M.Com</c:v>
                </c:pt>
                <c:pt idx="2">
                  <c:v>MBA</c:v>
                </c:pt>
                <c:pt idx="3">
                  <c:v>(blank)</c:v>
                </c:pt>
              </c:strCache>
            </c:strRef>
          </c:cat>
          <c:val>
            <c:numRef>
              <c:f>Pivot_Analysis!$B$76:$B$80</c:f>
              <c:numCache>
                <c:formatCode>General</c:formatCode>
                <c:ptCount val="4"/>
                <c:pt idx="0">
                  <c:v>18</c:v>
                </c:pt>
                <c:pt idx="1">
                  <c:v>8</c:v>
                </c:pt>
                <c:pt idx="2">
                  <c:v>23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C-4332-8FF7-DF83C5A6A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6550280"/>
        <c:axId val="908962312"/>
      </c:barChart>
      <c:catAx>
        <c:axId val="90655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62312"/>
        <c:crosses val="autoZero"/>
        <c:auto val="1"/>
        <c:lblAlgn val="ctr"/>
        <c:lblOffset val="100"/>
        <c:noMultiLvlLbl val="0"/>
      </c:catAx>
      <c:valAx>
        <c:axId val="90896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5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[Employee_Analytics_Dashboard_Project.xlsx]Pivot_Analysis!PivotTable9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Joining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Pivot_Analysis!$A$40:$A$49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Pivot_Analysis!$B$40:$B$49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D-41DC-BFEE-D1BC3E6E7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752392"/>
        <c:axId val="823799816"/>
      </c:barChart>
      <c:catAx>
        <c:axId val="82875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99816"/>
        <c:crosses val="autoZero"/>
        <c:auto val="1"/>
        <c:lblAlgn val="ctr"/>
        <c:lblOffset val="100"/>
        <c:noMultiLvlLbl val="0"/>
      </c:catAx>
      <c:valAx>
        <c:axId val="82379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5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276225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F9740-91D3-4CB0-8B75-7B5FF5359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4</xdr:row>
      <xdr:rowOff>171450</xdr:rowOff>
    </xdr:from>
    <xdr:to>
      <xdr:col>9</xdr:col>
      <xdr:colOff>1123950</xdr:colOff>
      <xdr:row>19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74951B-B34C-4A34-8C6A-EEF09F2BA228}"/>
            </a:ext>
            <a:ext uri="{147F2762-F138-4A5C-976F-8EAC2B608ADB}">
              <a16:predDERef xmlns:a16="http://schemas.microsoft.com/office/drawing/2014/main" pred="{5F3F9740-91D3-4CB0-8B75-7B5FF5359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28575</xdr:rowOff>
    </xdr:from>
    <xdr:to>
      <xdr:col>5</xdr:col>
      <xdr:colOff>285750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56DA2D-079B-4FD0-A2B5-DFAC45D4AA68}"/>
            </a:ext>
            <a:ext uri="{147F2762-F138-4A5C-976F-8EAC2B608ADB}">
              <a16:predDERef xmlns:a16="http://schemas.microsoft.com/office/drawing/2014/main" pred="{E274951B-B34C-4A34-8C6A-EEF09F2BA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2571750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4F76C-F108-4EA2-89BC-6F94A5985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5</xdr:row>
      <xdr:rowOff>0</xdr:rowOff>
    </xdr:from>
    <xdr:to>
      <xdr:col>9</xdr:col>
      <xdr:colOff>1333500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6FE79-76DD-4714-AB85-E04ADA4283E1}"/>
            </a:ext>
            <a:ext uri="{147F2762-F138-4A5C-976F-8EAC2B608ADB}">
              <a16:predDERef xmlns:a16="http://schemas.microsoft.com/office/drawing/2014/main" pred="{ADB4F76C-F108-4EA2-89BC-6F94A5985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2590800</xdr:colOff>
      <xdr:row>35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FA73D6-0D18-4AF8-AEBA-50002FC5A128}"/>
            </a:ext>
            <a:ext uri="{147F2762-F138-4A5C-976F-8EAC2B608ADB}">
              <a16:predDERef xmlns:a16="http://schemas.microsoft.com/office/drawing/2014/main" pred="{F986FE79-76DD-4714-AB85-E04ADA428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161925</xdr:rowOff>
    </xdr:from>
    <xdr:to>
      <xdr:col>3</xdr:col>
      <xdr:colOff>2600325</xdr:colOff>
      <xdr:row>19</xdr:row>
      <xdr:rowOff>171450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2CA1BD1-ED66-4519-8E83-FB590C433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4</xdr:row>
      <xdr:rowOff>171450</xdr:rowOff>
    </xdr:from>
    <xdr:to>
      <xdr:col>9</xdr:col>
      <xdr:colOff>1828800</xdr:colOff>
      <xdr:row>19</xdr:row>
      <xdr:rowOff>171450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6D4EF02-4A97-4A88-853D-DC32950D9C0F}"/>
            </a:ext>
            <a:ext uri="{147F2762-F138-4A5C-976F-8EAC2B608ADB}">
              <a16:predDERef xmlns:a16="http://schemas.microsoft.com/office/drawing/2014/main" pred="{B2CA1BD1-ED66-4519-8E83-FB590C433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2686050</xdr:colOff>
      <xdr:row>38</xdr:row>
      <xdr:rowOff>95250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7084D7F7-59FF-495A-86EC-AEB6D18A36D4}"/>
            </a:ext>
            <a:ext uri="{147F2762-F138-4A5C-976F-8EAC2B608ADB}">
              <a16:predDERef xmlns:a16="http://schemas.microsoft.com/office/drawing/2014/main" pred="{86D4EF02-4A97-4A88-853D-DC32950D9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1962150</xdr:colOff>
      <xdr:row>18</xdr:row>
      <xdr:rowOff>142875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A375FD1A-05D9-4529-9777-76E602EE9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5</xdr:row>
      <xdr:rowOff>0</xdr:rowOff>
    </xdr:from>
    <xdr:to>
      <xdr:col>9</xdr:col>
      <xdr:colOff>1809750</xdr:colOff>
      <xdr:row>19</xdr:row>
      <xdr:rowOff>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311DDAA5-5E99-4919-BBF9-46C813780339}"/>
            </a:ext>
            <a:ext uri="{147F2762-F138-4A5C-976F-8EAC2B608ADB}">
              <a16:predDERef xmlns:a16="http://schemas.microsoft.com/office/drawing/2014/main" pred="{A375FD1A-05D9-4529-9777-76E602EE9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1943100</xdr:colOff>
      <xdr:row>35</xdr:row>
      <xdr:rowOff>171450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24D3EDC5-C3EB-4B66-B311-F7E45BB2814F}"/>
            </a:ext>
            <a:ext uri="{147F2762-F138-4A5C-976F-8EAC2B608ADB}">
              <a16:predDERef xmlns:a16="http://schemas.microsoft.com/office/drawing/2014/main" pred="{311DDAA5-5E99-4919-BBF9-46C813780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600075</xdr:colOff>
      <xdr:row>21</xdr:row>
      <xdr:rowOff>0</xdr:rowOff>
    </xdr:from>
    <xdr:to>
      <xdr:col>9</xdr:col>
      <xdr:colOff>1800225</xdr:colOff>
      <xdr:row>36</xdr:row>
      <xdr:rowOff>0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C7AB1237-B931-45F5-B394-8A79879A0B6B}"/>
            </a:ext>
            <a:ext uri="{147F2762-F138-4A5C-976F-8EAC2B608ADB}">
              <a16:predDERef xmlns:a16="http://schemas.microsoft.com/office/drawing/2014/main" pred="{24D3EDC5-C3EB-4B66-B311-F7E45BB28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6.93060983796" createdVersion="8" refreshedVersion="8" minRefreshableVersion="3" recordCount="50" xr:uid="{B5AB2E65-F0E7-4C32-B765-FC30B14EDD86}">
  <cacheSource type="worksheet">
    <worksheetSource ref="A1:AF51" sheet="Clean_Data"/>
  </cacheSource>
  <cacheFields count="32">
    <cacheField name="Employee_ID" numFmtId="0">
      <sharedItems containsSemiMixedTypes="0" containsString="0" containsNumber="1" containsInteger="1" minValue="1001" maxValue="1050"/>
    </cacheField>
    <cacheField name="First_Name" numFmtId="0">
      <sharedItems/>
    </cacheField>
    <cacheField name="Last_Name" numFmtId="0">
      <sharedItems/>
    </cacheField>
    <cacheField name="Full_Name" numFmtId="0">
      <sharedItems count="50">
        <s v="Arun Kumar"/>
        <s v="Priya Sharma"/>
        <s v="David Wilson"/>
        <s v="Meena Ravi"/>
        <s v="Rahul Verma"/>
        <s v="Sneha Iyer"/>
        <s v="Kiran Reddy"/>
        <s v="Anitha Joseph"/>
        <s v="Vijay Kumar"/>
        <s v="Divya Nair"/>
        <s v="John Mathew"/>
        <s v="Lakshmi Devi"/>
        <s v="Suresh Babu"/>
        <s v="Nandhini Raj"/>
        <s v="Ravi Prakash"/>
        <s v="Asha Menon"/>
        <s v="Manoj Singh"/>
        <s v="Deepa Krishnan"/>
        <s v="Gokul Raj"/>
        <s v="Swathi Rao"/>
        <s v="Karthik Mohan"/>
        <s v="Neha Gupta"/>
        <s v="Vishnu Menon"/>
        <s v="Pooja Patel"/>
        <s v="Harish Kumar"/>
        <s v="Keerthi Ramesh"/>
        <s v="Sanjay Das"/>
        <s v="Maya Thomas"/>
        <s v="Ajay Rajan"/>
        <s v="Roshini Paul"/>
        <s v="Bharath Rao"/>
        <s v="Ishita Roy"/>
        <s v="Naveen Kumar"/>
        <s v="Harini S"/>
        <s v="Mohan Raj"/>
        <s v="Aparna Krish"/>
        <s v="Dinesh Yadav"/>
        <s v="Sangeetha M"/>
        <s v="Prakash N"/>
        <s v="Gayathri K"/>
        <s v="Rohit Mehta"/>
        <s v="Janani R"/>
        <s v="Faizal Ahmed"/>
        <s v="Swetha R"/>
        <s v="Ashwin Kumar"/>
        <s v="Monica D"/>
        <s v="Tarun Shah"/>
        <s v="Revathi S"/>
        <s v="Imran Khan"/>
        <s v="Kavya R"/>
      </sharedItems>
    </cacheField>
    <cacheField name="Email" numFmtId="0">
      <sharedItems containsBlank="1"/>
    </cacheField>
    <cacheField name="Department" numFmtId="0">
      <sharedItems count="6">
        <s v="IT"/>
        <s v="HR"/>
        <s v="Finance"/>
        <s v="Sales"/>
        <s v="Operations"/>
        <s v="Marketing"/>
      </sharedItems>
    </cacheField>
    <cacheField name="Job_Title" numFmtId="0">
      <sharedItems/>
    </cacheField>
    <cacheField name="City" numFmtId="0">
      <sharedItems/>
    </cacheField>
    <cacheField name="State" numFmtId="0">
      <sharedItems count="8">
        <s v="Tamil Nadu"/>
        <s v="Karnataka"/>
        <s v="Telangana"/>
        <s v="Kerala"/>
        <s v="Maharashtra"/>
        <s v="Delhi"/>
        <s v="Gujarat"/>
        <s v="West Bengal"/>
      </sharedItems>
    </cacheField>
    <cacheField name="Work_Mode" numFmtId="0">
      <sharedItems count="3">
        <s v="Hybrid"/>
        <s v="Remote"/>
        <s v="Office"/>
      </sharedItems>
    </cacheField>
    <cacheField name="Employment_Type" numFmtId="0">
      <sharedItems/>
    </cacheField>
    <cacheField name="Joining_Year" numFmtId="0">
      <sharedItems containsSemiMixedTypes="0" containsString="0" containsNumber="1" containsInteger="1" minValue="2016" maxValue="2024" count="9">
        <n v="2019"/>
        <n v="2018"/>
        <n v="2017"/>
        <n v="2020"/>
        <n v="2016"/>
        <n v="2024"/>
        <n v="2021"/>
        <n v="2022"/>
        <n v="2023"/>
      </sharedItems>
    </cacheField>
    <cacheField name="Experience_Years" numFmtId="0">
      <sharedItems containsSemiMixedTypes="0" containsString="0" containsNumber="1" containsInteger="1" minValue="2" maxValue="10"/>
    </cacheField>
    <cacheField name="Annual_Salary" numFmtId="0">
      <sharedItems containsSemiMixedTypes="0" containsString="0" containsNumber="1" containsInteger="1" minValue="43000" maxValue="125000"/>
    </cacheField>
    <cacheField name="Bonus_Percentage" numFmtId="0">
      <sharedItems containsSemiMixedTypes="0" containsString="0" containsNumber="1" containsInteger="1" minValue="5" maxValue="15"/>
    </cacheField>
    <cacheField name="Bonus_Amount" numFmtId="0">
      <sharedItems containsSemiMixedTypes="0" containsString="0" containsNumber="1" containsInteger="1" minValue="2150" maxValue="18750"/>
    </cacheField>
    <cacheField name="Performance_Score" numFmtId="0">
      <sharedItems containsSemiMixedTypes="0" containsString="0" containsNumber="1" containsInteger="1" minValue="69" maxValue="97"/>
    </cacheField>
    <cacheField name="Performance_Rating" numFmtId="0">
      <sharedItems count="4">
        <s v="Good"/>
        <s v="Excellent"/>
        <s v="Average"/>
        <s v="Needs Improvement"/>
      </sharedItems>
    </cacheField>
    <cacheField name="Status" numFmtId="0">
      <sharedItems/>
    </cacheField>
    <cacheField name="Education" numFmtId="0">
      <sharedItems containsBlank="1" count="4">
        <s v="B.Tech"/>
        <s v="MBA"/>
        <s v="M.Com"/>
        <m/>
      </sharedItems>
    </cacheField>
    <cacheField name="Skills" numFmtId="0">
      <sharedItems containsBlank="1"/>
    </cacheField>
    <cacheField name="Projects_Count" numFmtId="0">
      <sharedItems containsSemiMixedTypes="0" containsString="0" containsNumber="1" containsInteger="1" minValue="1" maxValue="9"/>
    </cacheField>
    <cacheField name="Leave_Balance_Days" numFmtId="0">
      <sharedItems containsString="0" containsBlank="1" containsNumber="1" containsInteger="1" minValue="5" maxValue="19"/>
    </cacheField>
    <cacheField name="Email_Check" numFmtId="0">
      <sharedItems/>
    </cacheField>
    <cacheField name="Skills_Check" numFmtId="0">
      <sharedItems/>
    </cacheField>
    <cacheField name="Education_Check" numFmtId="0">
      <sharedItems/>
    </cacheField>
    <cacheField name="Leave_Check" numFmtId="0">
      <sharedItems/>
    </cacheField>
    <cacheField name="Calculated_Full_Name" numFmtId="0">
      <sharedItems/>
    </cacheField>
    <cacheField name="Calculated_Bonus" numFmtId="0">
      <sharedItems containsSemiMixedTypes="0" containsString="0" containsNumber="1" containsInteger="1" minValue="2150" maxValue="18750"/>
    </cacheField>
    <cacheField name="Salary_Band" numFmtId="0">
      <sharedItems count="3">
        <s v="Medium"/>
        <s v="High"/>
        <s v="Low"/>
      </sharedItems>
    </cacheField>
    <cacheField name="Experience_Band" numFmtId="0">
      <sharedItems count="3">
        <s v="Mid-Level"/>
        <s v="Senior"/>
        <s v="Junior"/>
      </sharedItems>
    </cacheField>
    <cacheField name="Performance_Check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run"/>
    <s v="Kumar"/>
    <x v="0"/>
    <s v="arun.kumar@example.com"/>
    <x v="0"/>
    <s v="Data Engineer"/>
    <s v="Chennai"/>
    <x v="0"/>
    <x v="0"/>
    <s v="Full-Time"/>
    <x v="0"/>
    <n v="7"/>
    <n v="65000"/>
    <n v="12"/>
    <n v="7800"/>
    <n v="88"/>
    <x v="0"/>
    <s v="Active"/>
    <x v="0"/>
    <s v="Python;SQL;Cloud;Git;Spark"/>
    <n v="2"/>
    <n v="12"/>
    <s v="Available"/>
    <s v="Available"/>
    <s v="Available"/>
    <s v="Available"/>
    <s v="Arun Kumar"/>
    <n v="7800"/>
    <x v="0"/>
    <x v="0"/>
    <s v="Meets Expectations"/>
  </r>
  <r>
    <n v="1002"/>
    <s v="Priya"/>
    <s v="Sharma"/>
    <x v="1"/>
    <s v="priya.sharma@example.com"/>
    <x v="1"/>
    <s v="HR Manager"/>
    <s v="Bengaluru"/>
    <x v="1"/>
    <x v="0"/>
    <s v="Full-Time"/>
    <x v="1"/>
    <n v="8"/>
    <n v="75000"/>
    <n v="15"/>
    <n v="11250"/>
    <n v="92"/>
    <x v="1"/>
    <s v="Active"/>
    <x v="1"/>
    <s v="Recruitment;Excel;HRIS;Communication"/>
    <n v="5"/>
    <n v="8"/>
    <s v="Available"/>
    <s v="Available"/>
    <s v="Available"/>
    <s v="Available"/>
    <s v="Priya Sharma"/>
    <n v="11250"/>
    <x v="0"/>
    <x v="1"/>
    <s v="Top Performer"/>
  </r>
  <r>
    <n v="1003"/>
    <s v="David"/>
    <s v="Wilson"/>
    <x v="2"/>
    <s v="david.wilson@example.com"/>
    <x v="0"/>
    <s v="Senior Data Engineer"/>
    <s v="Chennai"/>
    <x v="0"/>
    <x v="1"/>
    <s v="Full-Time"/>
    <x v="2"/>
    <n v="9"/>
    <n v="90000"/>
    <n v="15"/>
    <n v="13500"/>
    <n v="95"/>
    <x v="1"/>
    <s v="Active"/>
    <x v="0"/>
    <s v="Python;SQL;Cloud;Git;Spark"/>
    <n v="7"/>
    <n v="10"/>
    <s v="Available"/>
    <s v="Available"/>
    <s v="Available"/>
    <s v="Available"/>
    <s v="David Wilson"/>
    <n v="13500"/>
    <x v="1"/>
    <x v="1"/>
    <s v="Top Performer"/>
  </r>
  <r>
    <n v="1004"/>
    <s v="Meena"/>
    <s v="Ravi"/>
    <x v="3"/>
    <s v="meena.ravi@example.com"/>
    <x v="2"/>
    <s v="Financial Analyst"/>
    <s v="Hyderabad"/>
    <x v="2"/>
    <x v="2"/>
    <s v="Full-Time"/>
    <x v="3"/>
    <n v="6"/>
    <n v="65000"/>
    <n v="8"/>
    <n v="5200"/>
    <n v="78"/>
    <x v="2"/>
    <s v="Active"/>
    <x v="2"/>
    <s v="Excel;Accounting;Power BI;Financial Analysis"/>
    <n v="3"/>
    <n v="15"/>
    <s v="Available"/>
    <s v="Available"/>
    <s v="Available"/>
    <s v="Available"/>
    <s v="Meena Ravi"/>
    <n v="5200"/>
    <x v="0"/>
    <x v="0"/>
    <s v="Meets Expectations"/>
  </r>
  <r>
    <n v="1005"/>
    <s v="Rahul"/>
    <s v="Verma"/>
    <x v="4"/>
    <s v="rahul.verma@example.com"/>
    <x v="0"/>
    <s v="Cloud Engineer"/>
    <s v="Bengaluru"/>
    <x v="1"/>
    <x v="0"/>
    <s v="Full-Time"/>
    <x v="4"/>
    <n v="10"/>
    <n v="95000"/>
    <n v="12"/>
    <n v="11400"/>
    <n v="91"/>
    <x v="1"/>
    <s v="Active"/>
    <x v="0"/>
    <s v="Python;SQL;Cloud;Git;Spark"/>
    <n v="8"/>
    <n v="9"/>
    <s v="Available"/>
    <s v="Available"/>
    <s v="Available"/>
    <s v="Available"/>
    <s v="Rahul Verma"/>
    <n v="11400"/>
    <x v="1"/>
    <x v="1"/>
    <s v="Top Performer"/>
  </r>
  <r>
    <n v="1006"/>
    <s v="Sneha"/>
    <s v="Iyer"/>
    <x v="5"/>
    <s v="sneha.iyer@example.com"/>
    <x v="2"/>
    <s v="Finance Manager"/>
    <s v="Chennai"/>
    <x v="0"/>
    <x v="2"/>
    <s v="Full-Time"/>
    <x v="2"/>
    <n v="9"/>
    <n v="85000"/>
    <n v="12"/>
    <n v="10200"/>
    <n v="89"/>
    <x v="0"/>
    <s v="Active"/>
    <x v="2"/>
    <s v="Excel;Accounting;Power BI;Financial Analysis"/>
    <n v="6"/>
    <n v="11"/>
    <s v="Available"/>
    <s v="Available"/>
    <s v="Available"/>
    <s v="Available"/>
    <s v="Sneha Iyer"/>
    <n v="10200"/>
    <x v="0"/>
    <x v="1"/>
    <s v="Meets Expectations"/>
  </r>
  <r>
    <n v="1007"/>
    <s v="Kiran"/>
    <s v="Reddy"/>
    <x v="6"/>
    <s v="kiran.reddy@example.com"/>
    <x v="3"/>
    <s v="Sales Executive"/>
    <s v="Hyderabad"/>
    <x v="2"/>
    <x v="2"/>
    <s v="Full-Time"/>
    <x v="5"/>
    <n v="2"/>
    <n v="45000"/>
    <n v="5"/>
    <n v="2250"/>
    <n v="72"/>
    <x v="2"/>
    <s v="Active"/>
    <x v="1"/>
    <s v="CRM;Negotiation;Excel;Communication"/>
    <n v="1"/>
    <n v="18"/>
    <s v="Available"/>
    <s v="Available"/>
    <s v="Available"/>
    <s v="Available"/>
    <s v="Kiran Reddy"/>
    <n v="2250"/>
    <x v="2"/>
    <x v="2"/>
    <s v="Needs Improvement"/>
  </r>
  <r>
    <n v="1008"/>
    <s v="Anitha"/>
    <s v="Joseph"/>
    <x v="7"/>
    <m/>
    <x v="3"/>
    <s v="Sales Manager"/>
    <s v="Bengaluru"/>
    <x v="1"/>
    <x v="0"/>
    <s v="Full-Time"/>
    <x v="0"/>
    <n v="7"/>
    <n v="78000"/>
    <n v="12"/>
    <n v="9360"/>
    <n v="86"/>
    <x v="0"/>
    <s v="Active"/>
    <x v="1"/>
    <s v="CRM;Negotiation;Excel;Communication"/>
    <n v="5"/>
    <n v="7"/>
    <s v="Missing Email"/>
    <s v="Available"/>
    <s v="Available"/>
    <s v="Available"/>
    <s v="Anitha Joseph"/>
    <n v="9360"/>
    <x v="0"/>
    <x v="0"/>
    <s v="Meets Expectations"/>
  </r>
  <r>
    <n v="1009"/>
    <s v="Vijay"/>
    <s v="Kumar"/>
    <x v="8"/>
    <s v="vijay.kumar@example.com"/>
    <x v="0"/>
    <s v="DevOps Engineer"/>
    <s v="Chennai"/>
    <x v="0"/>
    <x v="1"/>
    <s v="Full-Time"/>
    <x v="1"/>
    <n v="8"/>
    <n v="88000"/>
    <n v="15"/>
    <n v="13200"/>
    <n v="94"/>
    <x v="1"/>
    <s v="Active"/>
    <x v="0"/>
    <s v="Python;SQL;Cloud;Git;Spark"/>
    <n v="7"/>
    <n v="6"/>
    <s v="Available"/>
    <s v="Available"/>
    <s v="Available"/>
    <s v="Available"/>
    <s v="Vijay Kumar"/>
    <n v="13200"/>
    <x v="0"/>
    <x v="1"/>
    <s v="Top Performer"/>
  </r>
  <r>
    <n v="1010"/>
    <s v="Divya"/>
    <s v="Nair"/>
    <x v="9"/>
    <s v="divya.nair@example.com"/>
    <x v="1"/>
    <s v="Recruiter"/>
    <s v="Kochi"/>
    <x v="3"/>
    <x v="0"/>
    <s v="Full-Time"/>
    <x v="6"/>
    <n v="5"/>
    <n v="52000"/>
    <n v="8"/>
    <n v="4160"/>
    <n v="83"/>
    <x v="0"/>
    <s v="Active"/>
    <x v="1"/>
    <s v="Recruitment;Excel;HRIS;Communication"/>
    <n v="4"/>
    <n v="14"/>
    <s v="Available"/>
    <s v="Available"/>
    <s v="Available"/>
    <s v="Available"/>
    <s v="Divya Nair"/>
    <n v="4160"/>
    <x v="2"/>
    <x v="0"/>
    <s v="Meets Expectations"/>
  </r>
  <r>
    <n v="1011"/>
    <s v="John"/>
    <s v="Mathew"/>
    <x v="10"/>
    <s v="john.mathew@example.com"/>
    <x v="0"/>
    <s v="Software Engineer"/>
    <s v="Pune"/>
    <x v="4"/>
    <x v="0"/>
    <s v="Full-Time"/>
    <x v="7"/>
    <n v="4"/>
    <n v="60000"/>
    <n v="8"/>
    <n v="4800"/>
    <n v="81"/>
    <x v="0"/>
    <s v="Active"/>
    <x v="0"/>
    <s v="Python;SQL;Cloud;Git;Spark"/>
    <n v="3"/>
    <n v="13"/>
    <s v="Available"/>
    <s v="Available"/>
    <s v="Available"/>
    <s v="Available"/>
    <s v="John Mathew"/>
    <n v="4800"/>
    <x v="0"/>
    <x v="2"/>
    <s v="Meets Expectations"/>
  </r>
  <r>
    <n v="1012"/>
    <s v="Lakshmi"/>
    <s v="Devi"/>
    <x v="11"/>
    <s v="lakshmi.devi@example.com"/>
    <x v="2"/>
    <s v="Senior Accountant"/>
    <s v="Chennai"/>
    <x v="0"/>
    <x v="2"/>
    <s v="Full-Time"/>
    <x v="0"/>
    <n v="7"/>
    <n v="72000"/>
    <n v="12"/>
    <n v="8640"/>
    <n v="90"/>
    <x v="1"/>
    <s v="Active"/>
    <x v="2"/>
    <s v="Excel;Accounting;Power BI;Financial Analysis"/>
    <n v="6"/>
    <n v="9"/>
    <s v="Available"/>
    <s v="Available"/>
    <s v="Available"/>
    <s v="Available"/>
    <s v="Lakshmi Devi"/>
    <n v="8640"/>
    <x v="0"/>
    <x v="0"/>
    <s v="Top Performer"/>
  </r>
  <r>
    <n v="1013"/>
    <s v="Suresh"/>
    <s v="Babu"/>
    <x v="12"/>
    <s v="suresh.babu@example.com"/>
    <x v="4"/>
    <s v="Operations Manager"/>
    <s v="Hyderabad"/>
    <x v="2"/>
    <x v="2"/>
    <s v="Full-Time"/>
    <x v="4"/>
    <n v="10"/>
    <n v="82000"/>
    <n v="12"/>
    <n v="9840"/>
    <n v="87"/>
    <x v="0"/>
    <s v="Active"/>
    <x v="1"/>
    <s v="Excel;SQL;Power BI;Process Management"/>
    <n v="7"/>
    <n v="8"/>
    <s v="Available"/>
    <s v="Available"/>
    <s v="Available"/>
    <s v="Available"/>
    <s v="Suresh Babu"/>
    <n v="9840"/>
    <x v="0"/>
    <x v="1"/>
    <s v="Meets Expectations"/>
  </r>
  <r>
    <n v="1014"/>
    <s v="Nandhini"/>
    <s v="Raj"/>
    <x v="13"/>
    <s v="nandhini.raj@example.com"/>
    <x v="5"/>
    <s v="Marketing Executive"/>
    <s v="Chennai"/>
    <x v="0"/>
    <x v="0"/>
    <s v="Full-Time"/>
    <x v="7"/>
    <n v="4"/>
    <n v="55000"/>
    <n v="8"/>
    <n v="4400"/>
    <n v="79"/>
    <x v="2"/>
    <s v="Active"/>
    <x v="1"/>
    <s v="SEO;Google Analytics;Content;Social Media"/>
    <n v="3"/>
    <n v="16"/>
    <s v="Available"/>
    <s v="Available"/>
    <s v="Available"/>
    <s v="Available"/>
    <s v="Nandhini Raj"/>
    <n v="4400"/>
    <x v="2"/>
    <x v="2"/>
    <s v="Meets Expectations"/>
  </r>
  <r>
    <n v="1015"/>
    <s v="Ravi"/>
    <s v="Prakash"/>
    <x v="14"/>
    <s v="ravi.prakash@example.com"/>
    <x v="0"/>
    <s v="Python Developer"/>
    <s v="Pune"/>
    <x v="4"/>
    <x v="1"/>
    <s v="Full-Time"/>
    <x v="3"/>
    <n v="6"/>
    <n v="70000"/>
    <n v="15"/>
    <n v="10500"/>
    <n v="93"/>
    <x v="1"/>
    <s v="Active"/>
    <x v="0"/>
    <s v="Python;SQL;Cloud;Git;Spark"/>
    <n v="5"/>
    <n v="10"/>
    <s v="Available"/>
    <s v="Available"/>
    <s v="Available"/>
    <s v="Available"/>
    <s v="Ravi Prakash"/>
    <n v="10500"/>
    <x v="0"/>
    <x v="0"/>
    <s v="Top Performer"/>
  </r>
  <r>
    <n v="1016"/>
    <s v="Asha"/>
    <s v="Menon"/>
    <x v="15"/>
    <s v="asha.menon@example.com"/>
    <x v="1"/>
    <s v="HR Executive"/>
    <s v="Kochi"/>
    <x v="3"/>
    <x v="2"/>
    <s v="Full-Time"/>
    <x v="8"/>
    <n v="3"/>
    <n v="48000"/>
    <n v="8"/>
    <n v="3840"/>
    <n v="76"/>
    <x v="2"/>
    <s v="Active"/>
    <x v="1"/>
    <s v="Recruitment;Excel;HRIS;Communication"/>
    <n v="2"/>
    <n v="19"/>
    <s v="Available"/>
    <s v="Available"/>
    <s v="Available"/>
    <s v="Available"/>
    <s v="Asha Menon"/>
    <n v="3840"/>
    <x v="2"/>
    <x v="2"/>
    <s v="Meets Expectations"/>
  </r>
  <r>
    <n v="1017"/>
    <s v="Manoj"/>
    <s v="Singh"/>
    <x v="16"/>
    <s v="manoj.singh@example.com"/>
    <x v="3"/>
    <s v="Business Development Executive"/>
    <s v="Delhi"/>
    <x v="5"/>
    <x v="0"/>
    <s v="Full-Time"/>
    <x v="6"/>
    <n v="5"/>
    <n v="58000"/>
    <n v="8"/>
    <n v="4640"/>
    <n v="84"/>
    <x v="0"/>
    <s v="Active"/>
    <x v="1"/>
    <m/>
    <n v="4"/>
    <n v="12"/>
    <s v="Available"/>
    <s v="Missing Skills"/>
    <s v="Available"/>
    <s v="Available"/>
    <s v="Manoj Singh"/>
    <n v="4640"/>
    <x v="2"/>
    <x v="0"/>
    <s v="Meets Expectations"/>
  </r>
  <r>
    <n v="1018"/>
    <s v="Deepa"/>
    <s v="Krishnan"/>
    <x v="17"/>
    <s v="deepa.krishnan@example.com"/>
    <x v="0"/>
    <s v="BI Developer"/>
    <s v="Bengaluru"/>
    <x v="1"/>
    <x v="0"/>
    <s v="Full-Time"/>
    <x v="0"/>
    <n v="7"/>
    <n v="76000"/>
    <n v="12"/>
    <n v="9120"/>
    <n v="89"/>
    <x v="0"/>
    <s v="Active"/>
    <x v="0"/>
    <s v="Python;SQL;Cloud;Git;Spark"/>
    <n v="6"/>
    <n v="11"/>
    <s v="Available"/>
    <s v="Available"/>
    <s v="Available"/>
    <s v="Available"/>
    <s v="Deepa Krishnan"/>
    <n v="9120"/>
    <x v="0"/>
    <x v="0"/>
    <s v="Meets Expectations"/>
  </r>
  <r>
    <n v="1019"/>
    <s v="Gokul"/>
    <s v="Raj"/>
    <x v="18"/>
    <s v="gokul.raj@example.com"/>
    <x v="4"/>
    <s v="Operations Executive"/>
    <s v="Coimbatore"/>
    <x v="0"/>
    <x v="2"/>
    <s v="Full-Time"/>
    <x v="8"/>
    <n v="3"/>
    <n v="47000"/>
    <n v="5"/>
    <n v="2350"/>
    <n v="73"/>
    <x v="2"/>
    <s v="Active"/>
    <x v="1"/>
    <s v="Excel;SQL;Power BI;Process Management"/>
    <n v="2"/>
    <n v="17"/>
    <s v="Available"/>
    <s v="Available"/>
    <s v="Available"/>
    <s v="Available"/>
    <s v="Gokul Raj"/>
    <n v="2350"/>
    <x v="2"/>
    <x v="2"/>
    <s v="Needs Improvement"/>
  </r>
  <r>
    <n v="1020"/>
    <s v="Swathi"/>
    <s v="Rao"/>
    <x v="19"/>
    <s v="swathi.rao@example.com"/>
    <x v="5"/>
    <s v="Digital Marketing Specialist"/>
    <s v="Hyderabad"/>
    <x v="2"/>
    <x v="1"/>
    <s v="Full-Time"/>
    <x v="3"/>
    <n v="6"/>
    <n v="68000"/>
    <n v="12"/>
    <n v="8160"/>
    <n v="91"/>
    <x v="1"/>
    <s v="Active"/>
    <x v="1"/>
    <s v="SEO;Google Analytics;Content;Social Media"/>
    <n v="5"/>
    <n v="7"/>
    <s v="Available"/>
    <s v="Available"/>
    <s v="Available"/>
    <s v="Available"/>
    <s v="Swathi Rao"/>
    <n v="8160"/>
    <x v="0"/>
    <x v="0"/>
    <s v="Top Performer"/>
  </r>
  <r>
    <n v="1021"/>
    <s v="Karthik"/>
    <s v="Mohan"/>
    <x v="20"/>
    <s v="karthik.mohan@example.com"/>
    <x v="0"/>
    <s v="Azure Data Engineer"/>
    <s v="Chennai"/>
    <x v="0"/>
    <x v="0"/>
    <s v="Full-Time"/>
    <x v="1"/>
    <n v="8"/>
    <n v="92000"/>
    <n v="15"/>
    <n v="13800"/>
    <n v="96"/>
    <x v="1"/>
    <s v="Active"/>
    <x v="0"/>
    <s v="Python;SQL;Cloud;Git;Spark"/>
    <n v="8"/>
    <n v="8"/>
    <s v="Available"/>
    <s v="Available"/>
    <s v="Available"/>
    <s v="Available"/>
    <s v="Karthik Mohan"/>
    <n v="13800"/>
    <x v="1"/>
    <x v="1"/>
    <s v="Top Performer"/>
  </r>
  <r>
    <n v="1022"/>
    <s v="Neha"/>
    <s v="Gupta"/>
    <x v="21"/>
    <s v="neha.gupta@example.com"/>
    <x v="2"/>
    <s v="Finance Executive"/>
    <s v="Delhi"/>
    <x v="5"/>
    <x v="2"/>
    <s v="Full-Time"/>
    <x v="6"/>
    <n v="5"/>
    <n v="57000"/>
    <n v="8"/>
    <n v="4560"/>
    <n v="82"/>
    <x v="0"/>
    <s v="Active"/>
    <x v="2"/>
    <s v="Excel;Accounting;Power BI;Financial Analysis"/>
    <n v="3"/>
    <n v="13"/>
    <s v="Available"/>
    <s v="Available"/>
    <s v="Available"/>
    <s v="Available"/>
    <s v="Neha Gupta"/>
    <n v="4560"/>
    <x v="2"/>
    <x v="0"/>
    <s v="Meets Expectations"/>
  </r>
  <r>
    <n v="1023"/>
    <s v="Vishnu"/>
    <s v="Menon"/>
    <x v="22"/>
    <s v="vishnu.menon@example.com"/>
    <x v="0"/>
    <s v="Database Administrator"/>
    <s v="Kochi"/>
    <x v="3"/>
    <x v="0"/>
    <s v="Full-Time"/>
    <x v="2"/>
    <n v="9"/>
    <n v="84000"/>
    <n v="12"/>
    <n v="10080"/>
    <n v="88"/>
    <x v="0"/>
    <s v="Active"/>
    <x v="0"/>
    <s v="Python;SQL;Cloud;Git;Spark"/>
    <n v="6"/>
    <n v="9"/>
    <s v="Available"/>
    <s v="Available"/>
    <s v="Available"/>
    <s v="Available"/>
    <s v="Vishnu Menon"/>
    <n v="10080"/>
    <x v="0"/>
    <x v="1"/>
    <s v="Meets Expectations"/>
  </r>
  <r>
    <n v="1024"/>
    <s v="Pooja"/>
    <s v="Patel"/>
    <x v="23"/>
    <s v="pooja.patel@example.com"/>
    <x v="3"/>
    <s v="Sales Executive"/>
    <s v="Ahmedabad"/>
    <x v="6"/>
    <x v="2"/>
    <s v="Full-Time"/>
    <x v="8"/>
    <n v="3"/>
    <n v="46000"/>
    <n v="5"/>
    <n v="2300"/>
    <n v="71"/>
    <x v="2"/>
    <s v="Active"/>
    <x v="1"/>
    <s v="CRM;Negotiation;Excel;Communication"/>
    <n v="2"/>
    <n v="16"/>
    <s v="Available"/>
    <s v="Available"/>
    <s v="Available"/>
    <s v="Available"/>
    <s v="Pooja Patel"/>
    <n v="2300"/>
    <x v="2"/>
    <x v="2"/>
    <s v="Needs Improvement"/>
  </r>
  <r>
    <n v="1025"/>
    <s v="Harish"/>
    <s v="Kumar"/>
    <x v="24"/>
    <s v="harish.kumar@example.com"/>
    <x v="4"/>
    <s v="Business Analyst"/>
    <s v="Pune"/>
    <x v="4"/>
    <x v="0"/>
    <s v="Full-Time"/>
    <x v="3"/>
    <n v="6"/>
    <n v="67000"/>
    <n v="12"/>
    <n v="8040"/>
    <n v="85"/>
    <x v="0"/>
    <s v="Active"/>
    <x v="3"/>
    <s v="Excel;SQL;Power BI;Process Management"/>
    <n v="5"/>
    <n v="10"/>
    <s v="Available"/>
    <s v="Available"/>
    <s v="Missing Education"/>
    <s v="Available"/>
    <s v="Harish Kumar"/>
    <n v="8040"/>
    <x v="0"/>
    <x v="0"/>
    <s v="Meets Expectations"/>
  </r>
  <r>
    <n v="1026"/>
    <s v="Keerthi"/>
    <s v="Ramesh"/>
    <x v="25"/>
    <s v="keerthi.ramesh@example.com"/>
    <x v="0"/>
    <s v="Machine Learning Engineer"/>
    <s v="Bengaluru"/>
    <x v="1"/>
    <x v="1"/>
    <s v="Full-Time"/>
    <x v="0"/>
    <n v="7"/>
    <n v="98000"/>
    <n v="15"/>
    <n v="14700"/>
    <n v="97"/>
    <x v="1"/>
    <s v="Active"/>
    <x v="0"/>
    <s v="Python;SQL;Cloud;Git;Spark"/>
    <n v="8"/>
    <n v="6"/>
    <s v="Available"/>
    <s v="Available"/>
    <s v="Available"/>
    <s v="Available"/>
    <s v="Keerthi Ramesh"/>
    <n v="14700"/>
    <x v="1"/>
    <x v="0"/>
    <s v="Top Performer"/>
  </r>
  <r>
    <n v="1027"/>
    <s v="Sanjay"/>
    <s v="Das"/>
    <x v="26"/>
    <s v="sanjay.das@example.com"/>
    <x v="2"/>
    <s v="Senior Financial Analyst"/>
    <s v="Kolkata"/>
    <x v="7"/>
    <x v="0"/>
    <s v="Full-Time"/>
    <x v="1"/>
    <n v="8"/>
    <n v="79000"/>
    <n v="12"/>
    <n v="9480"/>
    <n v="86"/>
    <x v="0"/>
    <s v="Active"/>
    <x v="2"/>
    <s v="Excel;Accounting;Power BI;Financial Analysis"/>
    <n v="4"/>
    <n v="12"/>
    <s v="Available"/>
    <s v="Available"/>
    <s v="Available"/>
    <s v="Available"/>
    <s v="Sanjay Das"/>
    <n v="9480"/>
    <x v="0"/>
    <x v="1"/>
    <s v="Meets Expectations"/>
  </r>
  <r>
    <n v="1028"/>
    <s v="Maya"/>
    <s v="Thomas"/>
    <x v="27"/>
    <s v="maya.thomas@example.com"/>
    <x v="1"/>
    <s v="Talent Acquisition Specialist"/>
    <s v="Kochi"/>
    <x v="3"/>
    <x v="0"/>
    <s v="Full-Time"/>
    <x v="3"/>
    <n v="6"/>
    <n v="61000"/>
    <n v="12"/>
    <n v="7320"/>
    <n v="90"/>
    <x v="1"/>
    <s v="Active"/>
    <x v="1"/>
    <s v="Recruitment;Excel;HRIS;Communication"/>
    <n v="5"/>
    <n v="8"/>
    <s v="Available"/>
    <s v="Available"/>
    <s v="Available"/>
    <s v="Available"/>
    <s v="Maya Thomas"/>
    <n v="7320"/>
    <x v="0"/>
    <x v="0"/>
    <s v="Top Performer"/>
  </r>
  <r>
    <n v="1029"/>
    <s v="Ajay"/>
    <s v="Rajan"/>
    <x v="28"/>
    <s v="ajay.rajan@example.com"/>
    <x v="0"/>
    <s v="Full Stack Developer"/>
    <s v="Chennai"/>
    <x v="0"/>
    <x v="2"/>
    <s v="Full-Time"/>
    <x v="6"/>
    <n v="5"/>
    <n v="73000"/>
    <n v="8"/>
    <n v="5840"/>
    <n v="80"/>
    <x v="0"/>
    <s v="Active"/>
    <x v="0"/>
    <s v="Python;SQL;Cloud;Git;Spark"/>
    <n v="4"/>
    <n v="14"/>
    <s v="Available"/>
    <s v="Available"/>
    <s v="Available"/>
    <s v="Available"/>
    <s v="Ajay Rajan"/>
    <n v="5840"/>
    <x v="0"/>
    <x v="0"/>
    <s v="Meets Expectations"/>
  </r>
  <r>
    <n v="1030"/>
    <s v="Roshini"/>
    <s v="Paul"/>
    <x v="29"/>
    <s v="roshini.paul@example.com"/>
    <x v="5"/>
    <s v="Content Strategist"/>
    <s v="Kochi"/>
    <x v="3"/>
    <x v="1"/>
    <s v="Full-Time"/>
    <x v="7"/>
    <n v="4"/>
    <n v="59000"/>
    <n v="12"/>
    <n v="7080"/>
    <n v="87"/>
    <x v="0"/>
    <s v="Active"/>
    <x v="1"/>
    <s v="SEO;Google Analytics;Content;Social Media"/>
    <n v="3"/>
    <n v="11"/>
    <s v="Available"/>
    <s v="Available"/>
    <s v="Available"/>
    <s v="Available"/>
    <s v="Roshini Paul"/>
    <n v="7080"/>
    <x v="2"/>
    <x v="2"/>
    <s v="Meets Expectations"/>
  </r>
  <r>
    <n v="1031"/>
    <s v="Bharath"/>
    <s v="Rao"/>
    <x v="30"/>
    <s v="bharath.rao@example.com"/>
    <x v="0"/>
    <s v="Cloud Architect"/>
    <s v="Hyderabad"/>
    <x v="2"/>
    <x v="0"/>
    <s v="Full-Time"/>
    <x v="4"/>
    <n v="10"/>
    <n v="125000"/>
    <n v="15"/>
    <n v="18750"/>
    <n v="95"/>
    <x v="1"/>
    <s v="Active"/>
    <x v="0"/>
    <s v="Python;SQL;Cloud;Git;Spark"/>
    <n v="9"/>
    <n v="7"/>
    <s v="Available"/>
    <s v="Available"/>
    <s v="Available"/>
    <s v="Available"/>
    <s v="Bharath Rao"/>
    <n v="18750"/>
    <x v="1"/>
    <x v="1"/>
    <s v="Top Performer"/>
  </r>
  <r>
    <n v="1032"/>
    <s v="Ishita"/>
    <s v="Roy"/>
    <x v="31"/>
    <s v="ishita.roy@example.com"/>
    <x v="2"/>
    <s v="Financial Analyst"/>
    <s v="Kolkata"/>
    <x v="7"/>
    <x v="2"/>
    <s v="Full-Time"/>
    <x v="7"/>
    <n v="4"/>
    <n v="60000"/>
    <n v="8"/>
    <n v="4800"/>
    <n v="78"/>
    <x v="2"/>
    <s v="Active"/>
    <x v="2"/>
    <s v="Excel;Accounting;Power BI;Financial Analysis"/>
    <n v="3"/>
    <n v="15"/>
    <s v="Available"/>
    <s v="Available"/>
    <s v="Available"/>
    <s v="Available"/>
    <s v="Ishita Roy"/>
    <n v="4800"/>
    <x v="0"/>
    <x v="2"/>
    <s v="Meets Expectations"/>
  </r>
  <r>
    <n v="1033"/>
    <s v="Naveen"/>
    <s v="Kumar"/>
    <x v="32"/>
    <s v="naveen.kumar@example.com"/>
    <x v="3"/>
    <s v="Regional Sales Manager"/>
    <s v="Pune"/>
    <x v="4"/>
    <x v="0"/>
    <s v="Full-Time"/>
    <x v="2"/>
    <n v="9"/>
    <n v="98000"/>
    <n v="15"/>
    <n v="14700"/>
    <n v="93"/>
    <x v="1"/>
    <s v="Active"/>
    <x v="1"/>
    <s v="CRM;Negotiation;Excel;Communication"/>
    <n v="7"/>
    <n v="9"/>
    <s v="Available"/>
    <s v="Available"/>
    <s v="Available"/>
    <s v="Available"/>
    <s v="Naveen Kumar"/>
    <n v="14700"/>
    <x v="1"/>
    <x v="1"/>
    <s v="Top Performer"/>
  </r>
  <r>
    <n v="1034"/>
    <s v="Harini"/>
    <s v="S"/>
    <x v="33"/>
    <s v="harini.s@example.com"/>
    <x v="0"/>
    <s v="QA Engineer"/>
    <s v="Chennai"/>
    <x v="0"/>
    <x v="2"/>
    <s v="Full-Time"/>
    <x v="8"/>
    <n v="3"/>
    <n v="52000"/>
    <n v="8"/>
    <n v="4160"/>
    <n v="75"/>
    <x v="2"/>
    <s v="Active"/>
    <x v="0"/>
    <s v="Python;SQL;Cloud;Git;Spark"/>
    <n v="2"/>
    <n v="18"/>
    <s v="Available"/>
    <s v="Available"/>
    <s v="Available"/>
    <s v="Available"/>
    <s v="Harini S"/>
    <n v="4160"/>
    <x v="2"/>
    <x v="2"/>
    <s v="Meets Expectations"/>
  </r>
  <r>
    <n v="1035"/>
    <s v="Mohan"/>
    <s v="Raj"/>
    <x v="34"/>
    <s v="mohan.raj@example.com"/>
    <x v="4"/>
    <s v="Supply Chain Analyst"/>
    <s v="Coimbatore"/>
    <x v="0"/>
    <x v="0"/>
    <s v="Full-Time"/>
    <x v="6"/>
    <n v="5"/>
    <n v="62000"/>
    <n v="8"/>
    <n v="4960"/>
    <n v="83"/>
    <x v="0"/>
    <s v="Active"/>
    <x v="1"/>
    <s v="Excel;SQL;Power BI;Process Management"/>
    <n v="4"/>
    <m/>
    <s v="Available"/>
    <s v="Available"/>
    <s v="Available"/>
    <s v="Missing Leave Balance"/>
    <s v="Mohan Raj"/>
    <n v="4960"/>
    <x v="0"/>
    <x v="0"/>
    <s v="Meets Expectations"/>
  </r>
  <r>
    <n v="1036"/>
    <s v="Aparna"/>
    <s v="Krish"/>
    <x v="35"/>
    <s v="aparna.krish@example.com"/>
    <x v="1"/>
    <s v="Learning Specialist"/>
    <s v="Bengaluru"/>
    <x v="1"/>
    <x v="1"/>
    <s v="Full-Time"/>
    <x v="7"/>
    <n v="4"/>
    <n v="56000"/>
    <n v="12"/>
    <n v="6720"/>
    <n v="88"/>
    <x v="0"/>
    <s v="Active"/>
    <x v="1"/>
    <s v="Recruitment;Excel;HRIS;Communication"/>
    <n v="3"/>
    <n v="10"/>
    <s v="Available"/>
    <s v="Available"/>
    <s v="Available"/>
    <s v="Available"/>
    <s v="Aparna Krish"/>
    <n v="6720"/>
    <x v="2"/>
    <x v="2"/>
    <s v="Meets Expectations"/>
  </r>
  <r>
    <n v="1037"/>
    <s v="Dinesh"/>
    <s v="Yadav"/>
    <x v="36"/>
    <s v="dinesh.yadav@example.com"/>
    <x v="0"/>
    <s v="Network Engineer"/>
    <s v="Delhi"/>
    <x v="5"/>
    <x v="2"/>
    <s v="Full-Time"/>
    <x v="0"/>
    <n v="7"/>
    <n v="72000"/>
    <n v="8"/>
    <n v="5760"/>
    <n v="84"/>
    <x v="0"/>
    <s v="Active"/>
    <x v="0"/>
    <s v="Python;SQL;Cloud;Git;Spark"/>
    <n v="5"/>
    <n v="12"/>
    <s v="Available"/>
    <s v="Available"/>
    <s v="Available"/>
    <s v="Available"/>
    <s v="Dinesh Yadav"/>
    <n v="5760"/>
    <x v="0"/>
    <x v="0"/>
    <s v="Meets Expectations"/>
  </r>
  <r>
    <n v="1038"/>
    <s v="Sangeetha"/>
    <s v="M"/>
    <x v="37"/>
    <s v="sangeetha.m@example.com"/>
    <x v="5"/>
    <s v="Marketing Manager"/>
    <s v="Bengaluru"/>
    <x v="1"/>
    <x v="0"/>
    <s v="Full-Time"/>
    <x v="1"/>
    <n v="8"/>
    <n v="88000"/>
    <n v="15"/>
    <n v="13200"/>
    <n v="92"/>
    <x v="1"/>
    <s v="Active"/>
    <x v="1"/>
    <s v="SEO;Google Analytics;Content;Social Media"/>
    <n v="6"/>
    <n v="8"/>
    <s v="Available"/>
    <s v="Available"/>
    <s v="Available"/>
    <s v="Available"/>
    <s v="Sangeetha M"/>
    <n v="13200"/>
    <x v="0"/>
    <x v="1"/>
    <s v="Top Performer"/>
  </r>
  <r>
    <n v="1039"/>
    <s v="Prakash"/>
    <s v="N"/>
    <x v="38"/>
    <s v="prakash.n@example.com"/>
    <x v="0"/>
    <s v="Data Analyst"/>
    <s v="Chennai"/>
    <x v="0"/>
    <x v="0"/>
    <s v="Full-Time"/>
    <x v="8"/>
    <n v="3"/>
    <n v="56000"/>
    <n v="12"/>
    <n v="6720"/>
    <n v="86"/>
    <x v="0"/>
    <s v="Active"/>
    <x v="0"/>
    <s v="Python;SQL;Cloud;Git;Spark"/>
    <n v="3"/>
    <n v="15"/>
    <s v="Available"/>
    <s v="Available"/>
    <s v="Available"/>
    <s v="Available"/>
    <s v="Prakash N"/>
    <n v="6720"/>
    <x v="2"/>
    <x v="2"/>
    <s v="Meets Expectations"/>
  </r>
  <r>
    <n v="1040"/>
    <s v="Gayathri"/>
    <s v="K"/>
    <x v="39"/>
    <s v="gayathri.k@example.com"/>
    <x v="2"/>
    <s v="Accounts Executive"/>
    <s v="Madurai"/>
    <x v="0"/>
    <x v="2"/>
    <s v="Full-Time"/>
    <x v="5"/>
    <n v="2"/>
    <n v="44000"/>
    <n v="5"/>
    <n v="2200"/>
    <n v="74"/>
    <x v="2"/>
    <s v="Active"/>
    <x v="2"/>
    <s v="Excel;Accounting;Power BI;Financial Analysis"/>
    <n v="2"/>
    <n v="17"/>
    <s v="Available"/>
    <s v="Available"/>
    <s v="Available"/>
    <s v="Available"/>
    <s v="Gayathri K"/>
    <n v="2200"/>
    <x v="2"/>
    <x v="2"/>
    <s v="Needs Improvement"/>
  </r>
  <r>
    <n v="1041"/>
    <s v="Rohit"/>
    <s v="Mehta"/>
    <x v="40"/>
    <s v="rohit.mehta@example.com"/>
    <x v="3"/>
    <s v="Account Manager"/>
    <s v="Mumbai"/>
    <x v="4"/>
    <x v="0"/>
    <s v="Full-Time"/>
    <x v="3"/>
    <n v="6"/>
    <n v="82000"/>
    <n v="12"/>
    <n v="9840"/>
    <n v="89"/>
    <x v="0"/>
    <s v="Active"/>
    <x v="1"/>
    <s v="CRM;Negotiation;Excel;Communication"/>
    <n v="5"/>
    <n v="9"/>
    <s v="Available"/>
    <s v="Available"/>
    <s v="Available"/>
    <s v="Available"/>
    <s v="Rohit Mehta"/>
    <n v="9840"/>
    <x v="0"/>
    <x v="0"/>
    <s v="Meets Expectations"/>
  </r>
  <r>
    <n v="1042"/>
    <s v="Janani"/>
    <s v="R"/>
    <x v="41"/>
    <s v="janani.r@example.com"/>
    <x v="0"/>
    <s v="Power BI Developer"/>
    <s v="Chennai"/>
    <x v="0"/>
    <x v="1"/>
    <s v="Full-Time"/>
    <x v="6"/>
    <n v="5"/>
    <n v="68000"/>
    <n v="15"/>
    <n v="10200"/>
    <n v="94"/>
    <x v="1"/>
    <s v="Active"/>
    <x v="0"/>
    <s v="Python;SQL;Cloud;Git;Spark"/>
    <n v="6"/>
    <n v="7"/>
    <s v="Available"/>
    <s v="Available"/>
    <s v="Available"/>
    <s v="Available"/>
    <s v="Janani R"/>
    <n v="10200"/>
    <x v="0"/>
    <x v="0"/>
    <s v="Top Performer"/>
  </r>
  <r>
    <n v="1043"/>
    <s v="Faizal"/>
    <s v="Ahmed"/>
    <x v="42"/>
    <s v="faizal.ahmed@example.com"/>
    <x v="4"/>
    <s v="Operations Analyst"/>
    <s v="Bengaluru"/>
    <x v="1"/>
    <x v="2"/>
    <s v="Full-Time"/>
    <x v="7"/>
    <n v="4"/>
    <n v="58000"/>
    <n v="8"/>
    <n v="4640"/>
    <n v="81"/>
    <x v="0"/>
    <s v="Active"/>
    <x v="1"/>
    <s v="Excel;SQL;Power BI;Process Management"/>
    <n v="3"/>
    <n v="14"/>
    <s v="Available"/>
    <s v="Available"/>
    <s v="Available"/>
    <s v="Available"/>
    <s v="Faizal Ahmed"/>
    <n v="4640"/>
    <x v="2"/>
    <x v="2"/>
    <s v="Meets Expectations"/>
  </r>
  <r>
    <n v="1044"/>
    <s v="Swetha"/>
    <s v="R"/>
    <x v="43"/>
    <s v="swetha.r@example.com"/>
    <x v="1"/>
    <s v="HR Business Partner"/>
    <s v="Hyderabad"/>
    <x v="2"/>
    <x v="0"/>
    <s v="Full-Time"/>
    <x v="1"/>
    <n v="8"/>
    <n v="85000"/>
    <n v="12"/>
    <n v="10200"/>
    <n v="91"/>
    <x v="1"/>
    <s v="Active"/>
    <x v="1"/>
    <s v="Recruitment;Excel;HRIS;Communication"/>
    <n v="6"/>
    <n v="6"/>
    <s v="Available"/>
    <s v="Available"/>
    <s v="Available"/>
    <s v="Available"/>
    <s v="Swetha R"/>
    <n v="10200"/>
    <x v="0"/>
    <x v="1"/>
    <s v="Top Performer"/>
  </r>
  <r>
    <n v="1045"/>
    <s v="Ashwin"/>
    <s v="Kumar"/>
    <x v="44"/>
    <s v="ashwin.kumar@example.com"/>
    <x v="0"/>
    <s v="Site Reliability Engineer"/>
    <s v="Pune"/>
    <x v="4"/>
    <x v="1"/>
    <s v="Full-Time"/>
    <x v="2"/>
    <n v="9"/>
    <n v="102000"/>
    <n v="15"/>
    <n v="15300"/>
    <n v="96"/>
    <x v="1"/>
    <s v="Active"/>
    <x v="0"/>
    <s v="Python;SQL;Cloud;Git;Spark"/>
    <n v="8"/>
    <n v="5"/>
    <s v="Available"/>
    <s v="Available"/>
    <s v="Available"/>
    <s v="Available"/>
    <s v="Ashwin Kumar"/>
    <n v="15300"/>
    <x v="1"/>
    <x v="1"/>
    <s v="Top Performer"/>
  </r>
  <r>
    <n v="1046"/>
    <s v="Monica"/>
    <s v="D"/>
    <x v="45"/>
    <s v="monica.d@example.com"/>
    <x v="2"/>
    <s v="Financial Controller"/>
    <s v="Mumbai"/>
    <x v="4"/>
    <x v="2"/>
    <s v="Full-Time"/>
    <x v="4"/>
    <n v="10"/>
    <n v="110000"/>
    <n v="15"/>
    <n v="16500"/>
    <n v="94"/>
    <x v="1"/>
    <s v="Active"/>
    <x v="2"/>
    <s v="Excel;Accounting;Power BI;Financial Analysis"/>
    <n v="7"/>
    <n v="8"/>
    <s v="Available"/>
    <s v="Available"/>
    <s v="Available"/>
    <s v="Available"/>
    <s v="Monica D"/>
    <n v="16500"/>
    <x v="1"/>
    <x v="1"/>
    <s v="Top Performer"/>
  </r>
  <r>
    <n v="1047"/>
    <s v="Tarun"/>
    <s v="Shah"/>
    <x v="46"/>
    <s v="tarun.shah@example.com"/>
    <x v="3"/>
    <s v="Sales Executive"/>
    <s v="Ahmedabad"/>
    <x v="6"/>
    <x v="2"/>
    <s v="Full-Time"/>
    <x v="5"/>
    <n v="2"/>
    <n v="43000"/>
    <n v="5"/>
    <n v="2150"/>
    <n v="69"/>
    <x v="3"/>
    <s v="Active"/>
    <x v="1"/>
    <s v="CRM;Negotiation;Excel;Communication"/>
    <n v="2"/>
    <n v="18"/>
    <s v="Available"/>
    <s v="Available"/>
    <s v="Available"/>
    <s v="Available"/>
    <s v="Tarun Shah"/>
    <n v="2150"/>
    <x v="2"/>
    <x v="2"/>
    <s v="Needs Improvement"/>
  </r>
  <r>
    <n v="1048"/>
    <s v="Revathi"/>
    <s v="S"/>
    <x v="47"/>
    <s v="revathi.s@example.com"/>
    <x v="0"/>
    <s v="ETL Developer"/>
    <s v="Coimbatore"/>
    <x v="0"/>
    <x v="0"/>
    <s v="Full-Time"/>
    <x v="3"/>
    <n v="6"/>
    <n v="69000"/>
    <n v="12"/>
    <n v="8280"/>
    <n v="87"/>
    <x v="0"/>
    <s v="Active"/>
    <x v="0"/>
    <s v="Python;SQL;Cloud;Git;Spark"/>
    <n v="5"/>
    <n v="11"/>
    <s v="Available"/>
    <s v="Available"/>
    <s v="Available"/>
    <s v="Available"/>
    <s v="Revathi S"/>
    <n v="8280"/>
    <x v="0"/>
    <x v="0"/>
    <s v="Meets Expectations"/>
  </r>
  <r>
    <n v="1049"/>
    <s v="Imran"/>
    <s v="Khan"/>
    <x v="48"/>
    <s v="imran.khan@example.com"/>
    <x v="4"/>
    <s v="Project Coordinator"/>
    <s v="Hyderabad"/>
    <x v="2"/>
    <x v="0"/>
    <s v="Full-Time"/>
    <x v="6"/>
    <n v="5"/>
    <n v="60000"/>
    <n v="12"/>
    <n v="7200"/>
    <n v="85"/>
    <x v="0"/>
    <s v="Active"/>
    <x v="1"/>
    <s v="Excel;SQL;Power BI;Process Management"/>
    <n v="4"/>
    <n v="13"/>
    <s v="Available"/>
    <s v="Available"/>
    <s v="Available"/>
    <s v="Available"/>
    <s v="Imran Khan"/>
    <n v="7200"/>
    <x v="0"/>
    <x v="0"/>
    <s v="Meets Expectations"/>
  </r>
  <r>
    <n v="1050"/>
    <s v="Kavya"/>
    <s v="R"/>
    <x v="49"/>
    <s v="kavya.r@example.com"/>
    <x v="5"/>
    <s v="Brand Manager"/>
    <s v="Bengaluru"/>
    <x v="1"/>
    <x v="1"/>
    <s v="Full-Time"/>
    <x v="0"/>
    <n v="7"/>
    <n v="81000"/>
    <n v="12"/>
    <n v="9720"/>
    <n v="90"/>
    <x v="1"/>
    <s v="Active"/>
    <x v="1"/>
    <s v="SEO;Google Analytics;Content;Social Media"/>
    <n v="6"/>
    <n v="9"/>
    <s v="Available"/>
    <s v="Available"/>
    <s v="Available"/>
    <s v="Available"/>
    <s v="Kavya R"/>
    <n v="9720"/>
    <x v="0"/>
    <x v="0"/>
    <s v="Top Perfor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93719-6838-4488-A99A-18E2698BD9E6}" name="PivotTable6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75:B80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E953C-EBF8-4D7F-A6AA-4B271A20FDCC}" name="PivotTable5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63:F74" firstHeaderRow="1" firstDataRow="1" firstDataCol="1"/>
  <pivotFields count="32"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51">
        <item x="28"/>
        <item x="7"/>
        <item x="35"/>
        <item x="0"/>
        <item x="15"/>
        <item x="44"/>
        <item x="30"/>
        <item x="2"/>
        <item x="17"/>
        <item x="36"/>
        <item x="9"/>
        <item x="42"/>
        <item x="39"/>
        <item x="18"/>
        <item x="33"/>
        <item x="24"/>
        <item x="48"/>
        <item x="31"/>
        <item x="41"/>
        <item x="10"/>
        <item x="20"/>
        <item x="49"/>
        <item x="25"/>
        <item x="6"/>
        <item x="11"/>
        <item x="16"/>
        <item x="27"/>
        <item x="3"/>
        <item x="34"/>
        <item x="45"/>
        <item x="13"/>
        <item x="32"/>
        <item x="21"/>
        <item x="23"/>
        <item x="38"/>
        <item x="1"/>
        <item x="4"/>
        <item x="14"/>
        <item x="47"/>
        <item x="40"/>
        <item x="29"/>
        <item x="37"/>
        <item x="26"/>
        <item x="5"/>
        <item x="12"/>
        <item x="19"/>
        <item x="43"/>
        <item x="46"/>
        <item x="8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22"/>
    </i>
    <i>
      <x v="5"/>
    </i>
    <i>
      <x v="20"/>
    </i>
    <i>
      <x v="7"/>
    </i>
    <i>
      <x v="6"/>
    </i>
    <i>
      <x v="18"/>
    </i>
    <i>
      <x v="48"/>
    </i>
    <i>
      <x v="29"/>
    </i>
    <i>
      <x v="31"/>
    </i>
    <i>
      <x v="37"/>
    </i>
    <i t="grand">
      <x/>
    </i>
  </rowItems>
  <colItems count="1">
    <i/>
  </colItems>
  <dataFields count="1">
    <dataField name="Sum of Performance_Score" fld="1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FCC8C-3047-4329-9965-D9FAD8C2DC53}" name="PivotTable4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3:B70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5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erformance_Score" fld="16" subtotal="average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10DA3-61BD-4E91-8EA8-19E1C4B34C26}" name="PivotTable1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1:B55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C04F6-4CC5-464C-86B8-C94A950F05B1}" name="PivotTable14" cacheId="46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A15:B22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5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Bonus_Amount" fld="1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10EDD-5A5A-4AAD-AA4A-3842067DB2D2}" name="PivotTable13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15:F20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D24D4-B82E-4095-AC1A-ABF48AC5E0AA}" name="PivotTable3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F10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5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_Salary" fld="1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9F3F4-5985-47D7-85AD-B1837AF8F58B}" name="PivotTable12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27:B31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chartFormats count="2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1602C-9D7F-4C72-B3F8-97A5E6035565}" name="PivotTable2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5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09A1E-7DC4-44B7-949D-E022A9C471E2}" name="PivotTable11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27:F36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5"/>
        <item x="6"/>
        <item x="1"/>
        <item x="3"/>
        <item x="4"/>
        <item x="0"/>
        <item x="2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5E2BD-DF4E-45F2-822E-542BF2E165BF}" name="PivotTable10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9:F43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E60C0-4C29-40FA-95EB-A6D89E36607E}" name="PivotTable9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9:B49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2"/>
        <item x="1"/>
        <item x="0"/>
        <item x="3"/>
        <item x="6"/>
        <item x="7"/>
        <item x="8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1001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2019</v>
      </c>
      <c r="M2">
        <v>7</v>
      </c>
      <c r="N2">
        <v>65000</v>
      </c>
      <c r="O2">
        <v>12</v>
      </c>
      <c r="P2">
        <v>7800</v>
      </c>
      <c r="Q2">
        <v>88</v>
      </c>
      <c r="R2" t="s">
        <v>33</v>
      </c>
      <c r="S2" t="s">
        <v>34</v>
      </c>
      <c r="T2" t="s">
        <v>35</v>
      </c>
      <c r="U2" t="s">
        <v>36</v>
      </c>
      <c r="V2">
        <v>2</v>
      </c>
      <c r="W2">
        <v>12</v>
      </c>
    </row>
    <row r="3" spans="1:23">
      <c r="A3">
        <v>1002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31</v>
      </c>
      <c r="K3" t="s">
        <v>32</v>
      </c>
      <c r="L3">
        <v>2018</v>
      </c>
      <c r="M3">
        <v>8</v>
      </c>
      <c r="N3">
        <v>75000</v>
      </c>
      <c r="O3">
        <v>15</v>
      </c>
      <c r="P3">
        <v>11250</v>
      </c>
      <c r="Q3">
        <v>92</v>
      </c>
      <c r="R3" t="s">
        <v>45</v>
      </c>
      <c r="S3" t="s">
        <v>34</v>
      </c>
      <c r="T3" t="s">
        <v>46</v>
      </c>
      <c r="U3" t="s">
        <v>47</v>
      </c>
      <c r="V3">
        <v>5</v>
      </c>
      <c r="W3">
        <v>8</v>
      </c>
    </row>
    <row r="4" spans="1:23">
      <c r="A4">
        <v>1003</v>
      </c>
      <c r="B4" t="s">
        <v>48</v>
      </c>
      <c r="C4" t="s">
        <v>49</v>
      </c>
      <c r="D4" t="s">
        <v>50</v>
      </c>
      <c r="E4" t="s">
        <v>51</v>
      </c>
      <c r="F4" t="s">
        <v>27</v>
      </c>
      <c r="G4" t="s">
        <v>52</v>
      </c>
      <c r="H4" t="s">
        <v>29</v>
      </c>
      <c r="I4" t="s">
        <v>30</v>
      </c>
      <c r="J4" t="s">
        <v>53</v>
      </c>
      <c r="K4" t="s">
        <v>32</v>
      </c>
      <c r="L4">
        <v>2017</v>
      </c>
      <c r="M4">
        <v>9</v>
      </c>
      <c r="N4">
        <v>90000</v>
      </c>
      <c r="O4">
        <v>15</v>
      </c>
      <c r="P4">
        <v>13500</v>
      </c>
      <c r="Q4">
        <v>95</v>
      </c>
      <c r="R4" t="s">
        <v>45</v>
      </c>
      <c r="S4" t="s">
        <v>34</v>
      </c>
      <c r="T4" t="s">
        <v>35</v>
      </c>
      <c r="U4" t="s">
        <v>36</v>
      </c>
      <c r="V4">
        <v>7</v>
      </c>
      <c r="W4">
        <v>10</v>
      </c>
    </row>
    <row r="5" spans="1:23">
      <c r="A5">
        <v>1004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32</v>
      </c>
      <c r="L5">
        <v>2020</v>
      </c>
      <c r="M5">
        <v>6</v>
      </c>
      <c r="N5">
        <v>65000</v>
      </c>
      <c r="O5">
        <v>8</v>
      </c>
      <c r="P5">
        <v>5200</v>
      </c>
      <c r="Q5">
        <v>78</v>
      </c>
      <c r="R5" t="s">
        <v>63</v>
      </c>
      <c r="S5" t="s">
        <v>34</v>
      </c>
      <c r="T5" t="s">
        <v>64</v>
      </c>
      <c r="U5" t="s">
        <v>65</v>
      </c>
      <c r="V5">
        <v>3</v>
      </c>
      <c r="W5">
        <v>15</v>
      </c>
    </row>
    <row r="6" spans="1:23">
      <c r="A6">
        <v>1005</v>
      </c>
      <c r="B6" t="s">
        <v>66</v>
      </c>
      <c r="C6" t="s">
        <v>67</v>
      </c>
      <c r="D6" t="s">
        <v>68</v>
      </c>
      <c r="E6" t="s">
        <v>69</v>
      </c>
      <c r="F6" t="s">
        <v>27</v>
      </c>
      <c r="G6" t="s">
        <v>70</v>
      </c>
      <c r="H6" t="s">
        <v>43</v>
      </c>
      <c r="I6" t="s">
        <v>44</v>
      </c>
      <c r="J6" t="s">
        <v>31</v>
      </c>
      <c r="K6" t="s">
        <v>32</v>
      </c>
      <c r="L6">
        <v>2016</v>
      </c>
      <c r="M6">
        <v>10</v>
      </c>
      <c r="N6">
        <v>95000</v>
      </c>
      <c r="O6">
        <v>12</v>
      </c>
      <c r="P6">
        <v>11400</v>
      </c>
      <c r="Q6">
        <v>91</v>
      </c>
      <c r="R6" t="s">
        <v>45</v>
      </c>
      <c r="S6" t="s">
        <v>34</v>
      </c>
      <c r="T6" t="s">
        <v>35</v>
      </c>
      <c r="U6" t="s">
        <v>36</v>
      </c>
      <c r="V6">
        <v>8</v>
      </c>
      <c r="W6">
        <v>9</v>
      </c>
    </row>
    <row r="7" spans="1:23">
      <c r="A7">
        <v>1006</v>
      </c>
      <c r="B7" t="s">
        <v>71</v>
      </c>
      <c r="C7" t="s">
        <v>72</v>
      </c>
      <c r="D7" t="s">
        <v>73</v>
      </c>
      <c r="E7" t="s">
        <v>74</v>
      </c>
      <c r="F7" t="s">
        <v>58</v>
      </c>
      <c r="G7" t="s">
        <v>75</v>
      </c>
      <c r="H7" t="s">
        <v>29</v>
      </c>
      <c r="I7" t="s">
        <v>30</v>
      </c>
      <c r="J7" t="s">
        <v>62</v>
      </c>
      <c r="K7" t="s">
        <v>32</v>
      </c>
      <c r="L7">
        <v>2017</v>
      </c>
      <c r="M7">
        <v>9</v>
      </c>
      <c r="N7">
        <v>85000</v>
      </c>
      <c r="O7">
        <v>12</v>
      </c>
      <c r="P7">
        <v>10200</v>
      </c>
      <c r="Q7">
        <v>89</v>
      </c>
      <c r="R7" t="s">
        <v>33</v>
      </c>
      <c r="S7" t="s">
        <v>34</v>
      </c>
      <c r="T7" t="s">
        <v>64</v>
      </c>
      <c r="U7" t="s">
        <v>65</v>
      </c>
      <c r="V7">
        <v>6</v>
      </c>
      <c r="W7">
        <v>11</v>
      </c>
    </row>
    <row r="8" spans="1:23">
      <c r="A8">
        <v>1007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60</v>
      </c>
      <c r="I8" t="s">
        <v>61</v>
      </c>
      <c r="J8" t="s">
        <v>62</v>
      </c>
      <c r="K8" t="s">
        <v>32</v>
      </c>
      <c r="L8">
        <v>2024</v>
      </c>
      <c r="M8">
        <v>2</v>
      </c>
      <c r="N8">
        <v>45000</v>
      </c>
      <c r="O8">
        <v>5</v>
      </c>
      <c r="P8">
        <v>2250</v>
      </c>
      <c r="Q8">
        <v>72</v>
      </c>
      <c r="R8" t="s">
        <v>63</v>
      </c>
      <c r="S8" t="s">
        <v>34</v>
      </c>
      <c r="T8" t="s">
        <v>46</v>
      </c>
      <c r="U8" t="s">
        <v>82</v>
      </c>
      <c r="V8">
        <v>1</v>
      </c>
      <c r="W8">
        <v>18</v>
      </c>
    </row>
    <row r="9" spans="1:23">
      <c r="A9">
        <v>1008</v>
      </c>
      <c r="B9" t="s">
        <v>83</v>
      </c>
      <c r="C9" t="s">
        <v>84</v>
      </c>
      <c r="D9" t="s">
        <v>85</v>
      </c>
      <c r="F9" t="s">
        <v>80</v>
      </c>
      <c r="G9" t="s">
        <v>86</v>
      </c>
      <c r="H9" t="s">
        <v>43</v>
      </c>
      <c r="I9" t="s">
        <v>44</v>
      </c>
      <c r="J9" t="s">
        <v>31</v>
      </c>
      <c r="K9" t="s">
        <v>32</v>
      </c>
      <c r="L9">
        <v>2019</v>
      </c>
      <c r="M9">
        <v>7</v>
      </c>
      <c r="N9">
        <v>78000</v>
      </c>
      <c r="O9">
        <v>12</v>
      </c>
      <c r="P9">
        <v>9360</v>
      </c>
      <c r="Q9">
        <v>86</v>
      </c>
      <c r="R9" t="s">
        <v>33</v>
      </c>
      <c r="S9" t="s">
        <v>34</v>
      </c>
      <c r="T9" t="s">
        <v>46</v>
      </c>
      <c r="U9" t="s">
        <v>82</v>
      </c>
      <c r="V9">
        <v>5</v>
      </c>
      <c r="W9">
        <v>7</v>
      </c>
    </row>
    <row r="10" spans="1:23">
      <c r="A10">
        <v>1009</v>
      </c>
      <c r="B10" t="s">
        <v>87</v>
      </c>
      <c r="C10" t="s">
        <v>24</v>
      </c>
      <c r="D10" t="s">
        <v>88</v>
      </c>
      <c r="E10" t="s">
        <v>89</v>
      </c>
      <c r="F10" t="s">
        <v>27</v>
      </c>
      <c r="G10" t="s">
        <v>90</v>
      </c>
      <c r="H10" t="s">
        <v>29</v>
      </c>
      <c r="I10" t="s">
        <v>30</v>
      </c>
      <c r="J10" t="s">
        <v>53</v>
      </c>
      <c r="K10" t="s">
        <v>32</v>
      </c>
      <c r="L10">
        <v>2018</v>
      </c>
      <c r="M10">
        <v>8</v>
      </c>
      <c r="N10">
        <v>88000</v>
      </c>
      <c r="O10">
        <v>15</v>
      </c>
      <c r="P10">
        <v>13200</v>
      </c>
      <c r="Q10">
        <v>94</v>
      </c>
      <c r="R10" t="s">
        <v>45</v>
      </c>
      <c r="S10" t="s">
        <v>34</v>
      </c>
      <c r="T10" t="s">
        <v>35</v>
      </c>
      <c r="U10" t="s">
        <v>36</v>
      </c>
      <c r="V10">
        <v>7</v>
      </c>
      <c r="W10">
        <v>6</v>
      </c>
    </row>
    <row r="11" spans="1:23">
      <c r="A11">
        <v>1010</v>
      </c>
      <c r="B11" t="s">
        <v>91</v>
      </c>
      <c r="C11" t="s">
        <v>92</v>
      </c>
      <c r="D11" t="s">
        <v>93</v>
      </c>
      <c r="E11" t="s">
        <v>94</v>
      </c>
      <c r="F11" t="s">
        <v>41</v>
      </c>
      <c r="G11" t="s">
        <v>95</v>
      </c>
      <c r="H11" t="s">
        <v>96</v>
      </c>
      <c r="I11" t="s">
        <v>97</v>
      </c>
      <c r="J11" t="s">
        <v>31</v>
      </c>
      <c r="K11" t="s">
        <v>32</v>
      </c>
      <c r="L11">
        <v>2021</v>
      </c>
      <c r="M11">
        <v>5</v>
      </c>
      <c r="N11">
        <v>52000</v>
      </c>
      <c r="O11">
        <v>8</v>
      </c>
      <c r="P11">
        <v>4160</v>
      </c>
      <c r="Q11">
        <v>83</v>
      </c>
      <c r="R11" t="s">
        <v>33</v>
      </c>
      <c r="S11" t="s">
        <v>34</v>
      </c>
      <c r="T11" t="s">
        <v>46</v>
      </c>
      <c r="U11" t="s">
        <v>47</v>
      </c>
      <c r="V11">
        <v>4</v>
      </c>
      <c r="W11">
        <v>14</v>
      </c>
    </row>
    <row r="12" spans="1:23">
      <c r="A12">
        <v>1011</v>
      </c>
      <c r="B12" t="s">
        <v>98</v>
      </c>
      <c r="C12" t="s">
        <v>99</v>
      </c>
      <c r="D12" t="s">
        <v>100</v>
      </c>
      <c r="E12" t="s">
        <v>101</v>
      </c>
      <c r="F12" t="s">
        <v>27</v>
      </c>
      <c r="G12" t="s">
        <v>102</v>
      </c>
      <c r="H12" t="s">
        <v>103</v>
      </c>
      <c r="I12" t="s">
        <v>104</v>
      </c>
      <c r="J12" t="s">
        <v>31</v>
      </c>
      <c r="K12" t="s">
        <v>32</v>
      </c>
      <c r="L12">
        <v>2022</v>
      </c>
      <c r="M12">
        <v>4</v>
      </c>
      <c r="N12">
        <v>60000</v>
      </c>
      <c r="O12">
        <v>8</v>
      </c>
      <c r="P12">
        <v>4800</v>
      </c>
      <c r="Q12">
        <v>81</v>
      </c>
      <c r="R12" t="s">
        <v>33</v>
      </c>
      <c r="S12" t="s">
        <v>34</v>
      </c>
      <c r="T12" t="s">
        <v>35</v>
      </c>
      <c r="U12" t="s">
        <v>36</v>
      </c>
      <c r="V12">
        <v>3</v>
      </c>
      <c r="W12">
        <v>13</v>
      </c>
    </row>
    <row r="13" spans="1:23">
      <c r="A13">
        <v>1012</v>
      </c>
      <c r="B13" t="s">
        <v>105</v>
      </c>
      <c r="C13" t="s">
        <v>106</v>
      </c>
      <c r="D13" t="s">
        <v>107</v>
      </c>
      <c r="E13" t="s">
        <v>108</v>
      </c>
      <c r="F13" t="s">
        <v>58</v>
      </c>
      <c r="G13" t="s">
        <v>109</v>
      </c>
      <c r="H13" t="s">
        <v>29</v>
      </c>
      <c r="I13" t="s">
        <v>30</v>
      </c>
      <c r="J13" t="s">
        <v>62</v>
      </c>
      <c r="K13" t="s">
        <v>32</v>
      </c>
      <c r="L13">
        <v>2019</v>
      </c>
      <c r="M13">
        <v>7</v>
      </c>
      <c r="N13">
        <v>72000</v>
      </c>
      <c r="O13">
        <v>12</v>
      </c>
      <c r="P13">
        <v>8640</v>
      </c>
      <c r="Q13">
        <v>90</v>
      </c>
      <c r="R13" t="s">
        <v>45</v>
      </c>
      <c r="S13" t="s">
        <v>34</v>
      </c>
      <c r="T13" t="s">
        <v>64</v>
      </c>
      <c r="U13" t="s">
        <v>65</v>
      </c>
      <c r="V13">
        <v>6</v>
      </c>
      <c r="W13">
        <v>9</v>
      </c>
    </row>
    <row r="14" spans="1:23">
      <c r="A14">
        <v>1013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60</v>
      </c>
      <c r="I14" t="s">
        <v>61</v>
      </c>
      <c r="J14" t="s">
        <v>62</v>
      </c>
      <c r="K14" t="s">
        <v>32</v>
      </c>
      <c r="L14">
        <v>2016</v>
      </c>
      <c r="M14">
        <v>10</v>
      </c>
      <c r="N14">
        <v>82000</v>
      </c>
      <c r="O14">
        <v>12</v>
      </c>
      <c r="P14">
        <v>9840</v>
      </c>
      <c r="Q14">
        <v>87</v>
      </c>
      <c r="R14" t="s">
        <v>33</v>
      </c>
      <c r="S14" t="s">
        <v>34</v>
      </c>
      <c r="T14" t="s">
        <v>46</v>
      </c>
      <c r="U14" t="s">
        <v>116</v>
      </c>
      <c r="V14">
        <v>7</v>
      </c>
      <c r="W14">
        <v>8</v>
      </c>
    </row>
    <row r="15" spans="1:23">
      <c r="A15">
        <v>1014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29</v>
      </c>
      <c r="I15" t="s">
        <v>30</v>
      </c>
      <c r="J15" t="s">
        <v>31</v>
      </c>
      <c r="K15" t="s">
        <v>32</v>
      </c>
      <c r="L15">
        <v>2022</v>
      </c>
      <c r="M15">
        <v>4</v>
      </c>
      <c r="N15">
        <v>55000</v>
      </c>
      <c r="O15">
        <v>8</v>
      </c>
      <c r="P15">
        <v>4400</v>
      </c>
      <c r="Q15">
        <v>79</v>
      </c>
      <c r="R15" t="s">
        <v>63</v>
      </c>
      <c r="S15" t="s">
        <v>34</v>
      </c>
      <c r="T15" t="s">
        <v>46</v>
      </c>
      <c r="U15" t="s">
        <v>123</v>
      </c>
      <c r="V15">
        <v>3</v>
      </c>
      <c r="W15">
        <v>16</v>
      </c>
    </row>
    <row r="16" spans="1:23">
      <c r="A16">
        <v>1015</v>
      </c>
      <c r="B16" t="s">
        <v>55</v>
      </c>
      <c r="C16" t="s">
        <v>124</v>
      </c>
      <c r="D16" t="s">
        <v>125</v>
      </c>
      <c r="E16" t="s">
        <v>126</v>
      </c>
      <c r="F16" t="s">
        <v>27</v>
      </c>
      <c r="G16" t="s">
        <v>127</v>
      </c>
      <c r="H16" t="s">
        <v>103</v>
      </c>
      <c r="I16" t="s">
        <v>104</v>
      </c>
      <c r="J16" t="s">
        <v>53</v>
      </c>
      <c r="K16" t="s">
        <v>32</v>
      </c>
      <c r="L16">
        <v>2020</v>
      </c>
      <c r="M16">
        <v>6</v>
      </c>
      <c r="N16">
        <v>70000</v>
      </c>
      <c r="O16">
        <v>15</v>
      </c>
      <c r="P16">
        <v>10500</v>
      </c>
      <c r="Q16">
        <v>93</v>
      </c>
      <c r="R16" t="s">
        <v>45</v>
      </c>
      <c r="S16" t="s">
        <v>34</v>
      </c>
      <c r="T16" t="s">
        <v>35</v>
      </c>
      <c r="U16" t="s">
        <v>36</v>
      </c>
      <c r="V16">
        <v>5</v>
      </c>
      <c r="W16">
        <v>10</v>
      </c>
    </row>
    <row r="17" spans="1:23">
      <c r="A17">
        <v>1016</v>
      </c>
      <c r="B17" t="s">
        <v>128</v>
      </c>
      <c r="C17" t="s">
        <v>129</v>
      </c>
      <c r="D17" t="s">
        <v>130</v>
      </c>
      <c r="E17" t="s">
        <v>131</v>
      </c>
      <c r="F17" t="s">
        <v>41</v>
      </c>
      <c r="G17" t="s">
        <v>132</v>
      </c>
      <c r="H17" t="s">
        <v>96</v>
      </c>
      <c r="I17" t="s">
        <v>97</v>
      </c>
      <c r="J17" t="s">
        <v>62</v>
      </c>
      <c r="K17" t="s">
        <v>32</v>
      </c>
      <c r="L17">
        <v>2023</v>
      </c>
      <c r="M17">
        <v>3</v>
      </c>
      <c r="N17">
        <v>48000</v>
      </c>
      <c r="O17">
        <v>8</v>
      </c>
      <c r="P17">
        <v>3840</v>
      </c>
      <c r="Q17">
        <v>76</v>
      </c>
      <c r="R17" t="s">
        <v>63</v>
      </c>
      <c r="S17" t="s">
        <v>34</v>
      </c>
      <c r="T17" t="s">
        <v>46</v>
      </c>
      <c r="U17" t="s">
        <v>47</v>
      </c>
      <c r="V17">
        <v>2</v>
      </c>
      <c r="W17">
        <v>19</v>
      </c>
    </row>
    <row r="18" spans="1:23">
      <c r="A18">
        <v>1017</v>
      </c>
      <c r="B18" t="s">
        <v>133</v>
      </c>
      <c r="C18" t="s">
        <v>134</v>
      </c>
      <c r="D18" t="s">
        <v>135</v>
      </c>
      <c r="E18" t="s">
        <v>136</v>
      </c>
      <c r="F18" t="s">
        <v>80</v>
      </c>
      <c r="G18" t="s">
        <v>137</v>
      </c>
      <c r="H18" t="s">
        <v>138</v>
      </c>
      <c r="I18" t="s">
        <v>138</v>
      </c>
      <c r="J18" t="s">
        <v>31</v>
      </c>
      <c r="K18" t="s">
        <v>32</v>
      </c>
      <c r="L18">
        <v>2021</v>
      </c>
      <c r="M18">
        <v>5</v>
      </c>
      <c r="N18">
        <v>58000</v>
      </c>
      <c r="O18">
        <v>8</v>
      </c>
      <c r="P18">
        <v>4640</v>
      </c>
      <c r="Q18">
        <v>84</v>
      </c>
      <c r="R18" t="s">
        <v>33</v>
      </c>
      <c r="S18" t="s">
        <v>34</v>
      </c>
      <c r="T18" t="s">
        <v>46</v>
      </c>
      <c r="V18">
        <v>4</v>
      </c>
      <c r="W18">
        <v>12</v>
      </c>
    </row>
    <row r="19" spans="1:23">
      <c r="A19">
        <v>1018</v>
      </c>
      <c r="B19" t="s">
        <v>139</v>
      </c>
      <c r="C19" t="s">
        <v>140</v>
      </c>
      <c r="D19" t="s">
        <v>141</v>
      </c>
      <c r="E19" t="s">
        <v>142</v>
      </c>
      <c r="F19" t="s">
        <v>27</v>
      </c>
      <c r="G19" t="s">
        <v>143</v>
      </c>
      <c r="H19" t="s">
        <v>43</v>
      </c>
      <c r="I19" t="s">
        <v>44</v>
      </c>
      <c r="J19" t="s">
        <v>31</v>
      </c>
      <c r="K19" t="s">
        <v>32</v>
      </c>
      <c r="L19">
        <v>2019</v>
      </c>
      <c r="M19">
        <v>7</v>
      </c>
      <c r="N19">
        <v>76000</v>
      </c>
      <c r="O19">
        <v>12</v>
      </c>
      <c r="P19">
        <v>9120</v>
      </c>
      <c r="Q19">
        <v>89</v>
      </c>
      <c r="R19" t="s">
        <v>33</v>
      </c>
      <c r="S19" t="s">
        <v>34</v>
      </c>
      <c r="T19" t="s">
        <v>35</v>
      </c>
      <c r="U19" t="s">
        <v>36</v>
      </c>
      <c r="V19">
        <v>6</v>
      </c>
      <c r="W19">
        <v>11</v>
      </c>
    </row>
    <row r="20" spans="1:23">
      <c r="A20">
        <v>1019</v>
      </c>
      <c r="B20" t="s">
        <v>144</v>
      </c>
      <c r="C20" t="s">
        <v>118</v>
      </c>
      <c r="D20" t="s">
        <v>145</v>
      </c>
      <c r="E20" t="s">
        <v>146</v>
      </c>
      <c r="F20" t="s">
        <v>114</v>
      </c>
      <c r="G20" t="s">
        <v>147</v>
      </c>
      <c r="H20" t="s">
        <v>148</v>
      </c>
      <c r="I20" t="s">
        <v>30</v>
      </c>
      <c r="J20" t="s">
        <v>62</v>
      </c>
      <c r="K20" t="s">
        <v>32</v>
      </c>
      <c r="L20">
        <v>2023</v>
      </c>
      <c r="M20">
        <v>3</v>
      </c>
      <c r="N20">
        <v>47000</v>
      </c>
      <c r="O20">
        <v>5</v>
      </c>
      <c r="P20">
        <v>2350</v>
      </c>
      <c r="Q20">
        <v>73</v>
      </c>
      <c r="R20" t="s">
        <v>63</v>
      </c>
      <c r="S20" t="s">
        <v>34</v>
      </c>
      <c r="T20" t="s">
        <v>46</v>
      </c>
      <c r="U20" t="s">
        <v>116</v>
      </c>
      <c r="V20">
        <v>2</v>
      </c>
      <c r="W20">
        <v>17</v>
      </c>
    </row>
    <row r="21" spans="1:23">
      <c r="A21">
        <v>1020</v>
      </c>
      <c r="B21" t="s">
        <v>149</v>
      </c>
      <c r="C21" t="s">
        <v>150</v>
      </c>
      <c r="D21" t="s">
        <v>151</v>
      </c>
      <c r="E21" t="s">
        <v>152</v>
      </c>
      <c r="F21" t="s">
        <v>121</v>
      </c>
      <c r="G21" t="s">
        <v>153</v>
      </c>
      <c r="H21" t="s">
        <v>60</v>
      </c>
      <c r="I21" t="s">
        <v>61</v>
      </c>
      <c r="J21" t="s">
        <v>53</v>
      </c>
      <c r="K21" t="s">
        <v>32</v>
      </c>
      <c r="L21">
        <v>2020</v>
      </c>
      <c r="M21">
        <v>6</v>
      </c>
      <c r="N21">
        <v>68000</v>
      </c>
      <c r="O21">
        <v>12</v>
      </c>
      <c r="P21">
        <v>8160</v>
      </c>
      <c r="Q21">
        <v>91</v>
      </c>
      <c r="R21" t="s">
        <v>45</v>
      </c>
      <c r="S21" t="s">
        <v>34</v>
      </c>
      <c r="T21" t="s">
        <v>46</v>
      </c>
      <c r="U21" t="s">
        <v>123</v>
      </c>
      <c r="V21">
        <v>5</v>
      </c>
      <c r="W21">
        <v>7</v>
      </c>
    </row>
    <row r="22" spans="1:23">
      <c r="A22">
        <v>1021</v>
      </c>
      <c r="B22" t="s">
        <v>154</v>
      </c>
      <c r="C22" t="s">
        <v>155</v>
      </c>
      <c r="D22" t="s">
        <v>156</v>
      </c>
      <c r="E22" t="s">
        <v>157</v>
      </c>
      <c r="F22" t="s">
        <v>27</v>
      </c>
      <c r="G22" t="s">
        <v>158</v>
      </c>
      <c r="H22" t="s">
        <v>29</v>
      </c>
      <c r="I22" t="s">
        <v>30</v>
      </c>
      <c r="J22" t="s">
        <v>31</v>
      </c>
      <c r="K22" t="s">
        <v>32</v>
      </c>
      <c r="L22">
        <v>2018</v>
      </c>
      <c r="M22">
        <v>8</v>
      </c>
      <c r="N22">
        <v>92000</v>
      </c>
      <c r="O22">
        <v>15</v>
      </c>
      <c r="P22">
        <v>13800</v>
      </c>
      <c r="Q22">
        <v>96</v>
      </c>
      <c r="R22" t="s">
        <v>45</v>
      </c>
      <c r="S22" t="s">
        <v>34</v>
      </c>
      <c r="T22" t="s">
        <v>35</v>
      </c>
      <c r="U22" t="s">
        <v>36</v>
      </c>
      <c r="V22">
        <v>8</v>
      </c>
      <c r="W22">
        <v>8</v>
      </c>
    </row>
    <row r="23" spans="1:23">
      <c r="A23">
        <v>1022</v>
      </c>
      <c r="B23" t="s">
        <v>159</v>
      </c>
      <c r="C23" t="s">
        <v>160</v>
      </c>
      <c r="D23" t="s">
        <v>161</v>
      </c>
      <c r="E23" t="s">
        <v>162</v>
      </c>
      <c r="F23" t="s">
        <v>58</v>
      </c>
      <c r="G23" t="s">
        <v>163</v>
      </c>
      <c r="H23" t="s">
        <v>138</v>
      </c>
      <c r="I23" t="s">
        <v>138</v>
      </c>
      <c r="J23" t="s">
        <v>62</v>
      </c>
      <c r="K23" t="s">
        <v>32</v>
      </c>
      <c r="L23">
        <v>2021</v>
      </c>
      <c r="M23">
        <v>5</v>
      </c>
      <c r="N23">
        <v>57000</v>
      </c>
      <c r="O23">
        <v>8</v>
      </c>
      <c r="P23">
        <v>4560</v>
      </c>
      <c r="Q23">
        <v>82</v>
      </c>
      <c r="R23" t="s">
        <v>33</v>
      </c>
      <c r="S23" t="s">
        <v>34</v>
      </c>
      <c r="T23" t="s">
        <v>64</v>
      </c>
      <c r="U23" t="s">
        <v>65</v>
      </c>
      <c r="V23">
        <v>3</v>
      </c>
      <c r="W23">
        <v>13</v>
      </c>
    </row>
    <row r="24" spans="1:23">
      <c r="A24">
        <v>1023</v>
      </c>
      <c r="B24" t="s">
        <v>164</v>
      </c>
      <c r="C24" t="s">
        <v>129</v>
      </c>
      <c r="D24" t="s">
        <v>165</v>
      </c>
      <c r="E24" t="s">
        <v>166</v>
      </c>
      <c r="F24" t="s">
        <v>27</v>
      </c>
      <c r="G24" t="s">
        <v>167</v>
      </c>
      <c r="H24" t="s">
        <v>96</v>
      </c>
      <c r="I24" t="s">
        <v>97</v>
      </c>
      <c r="J24" t="s">
        <v>31</v>
      </c>
      <c r="K24" t="s">
        <v>32</v>
      </c>
      <c r="L24">
        <v>2017</v>
      </c>
      <c r="M24">
        <v>9</v>
      </c>
      <c r="N24">
        <v>84000</v>
      </c>
      <c r="O24">
        <v>12</v>
      </c>
      <c r="P24">
        <v>10080</v>
      </c>
      <c r="Q24">
        <v>88</v>
      </c>
      <c r="R24" t="s">
        <v>33</v>
      </c>
      <c r="S24" t="s">
        <v>34</v>
      </c>
      <c r="T24" t="s">
        <v>35</v>
      </c>
      <c r="U24" t="s">
        <v>36</v>
      </c>
      <c r="V24">
        <v>6</v>
      </c>
      <c r="W24">
        <v>9</v>
      </c>
    </row>
    <row r="25" spans="1:23">
      <c r="A25">
        <v>1024</v>
      </c>
      <c r="B25" t="s">
        <v>168</v>
      </c>
      <c r="C25" t="s">
        <v>169</v>
      </c>
      <c r="D25" t="s">
        <v>170</v>
      </c>
      <c r="E25" t="s">
        <v>171</v>
      </c>
      <c r="F25" t="s">
        <v>80</v>
      </c>
      <c r="G25" t="s">
        <v>81</v>
      </c>
      <c r="H25" t="s">
        <v>172</v>
      </c>
      <c r="I25" t="s">
        <v>173</v>
      </c>
      <c r="J25" t="s">
        <v>62</v>
      </c>
      <c r="K25" t="s">
        <v>32</v>
      </c>
      <c r="L25">
        <v>2023</v>
      </c>
      <c r="M25">
        <v>3</v>
      </c>
      <c r="N25">
        <v>46000</v>
      </c>
      <c r="O25">
        <v>5</v>
      </c>
      <c r="P25">
        <v>2300</v>
      </c>
      <c r="Q25">
        <v>71</v>
      </c>
      <c r="R25" t="s">
        <v>63</v>
      </c>
      <c r="S25" t="s">
        <v>34</v>
      </c>
      <c r="T25" t="s">
        <v>46</v>
      </c>
      <c r="U25" t="s">
        <v>82</v>
      </c>
      <c r="V25">
        <v>2</v>
      </c>
      <c r="W25">
        <v>16</v>
      </c>
    </row>
    <row r="26" spans="1:23">
      <c r="A26">
        <v>1025</v>
      </c>
      <c r="B26" t="s">
        <v>174</v>
      </c>
      <c r="C26" t="s">
        <v>24</v>
      </c>
      <c r="D26" t="s">
        <v>175</v>
      </c>
      <c r="E26" t="s">
        <v>176</v>
      </c>
      <c r="F26" t="s">
        <v>114</v>
      </c>
      <c r="G26" t="s">
        <v>177</v>
      </c>
      <c r="H26" t="s">
        <v>103</v>
      </c>
      <c r="I26" t="s">
        <v>104</v>
      </c>
      <c r="J26" t="s">
        <v>31</v>
      </c>
      <c r="K26" t="s">
        <v>32</v>
      </c>
      <c r="L26">
        <v>2020</v>
      </c>
      <c r="M26">
        <v>6</v>
      </c>
      <c r="N26">
        <v>67000</v>
      </c>
      <c r="O26">
        <v>12</v>
      </c>
      <c r="P26">
        <v>8040</v>
      </c>
      <c r="Q26">
        <v>85</v>
      </c>
      <c r="R26" t="s">
        <v>33</v>
      </c>
      <c r="S26" t="s">
        <v>34</v>
      </c>
      <c r="U26" t="s">
        <v>116</v>
      </c>
      <c r="V26">
        <v>5</v>
      </c>
      <c r="W26">
        <v>10</v>
      </c>
    </row>
    <row r="27" spans="1:23">
      <c r="A27">
        <v>1026</v>
      </c>
      <c r="B27" t="s">
        <v>178</v>
      </c>
      <c r="C27" t="s">
        <v>179</v>
      </c>
      <c r="D27" t="s">
        <v>180</v>
      </c>
      <c r="E27" t="s">
        <v>181</v>
      </c>
      <c r="F27" t="s">
        <v>27</v>
      </c>
      <c r="G27" t="s">
        <v>182</v>
      </c>
      <c r="H27" t="s">
        <v>43</v>
      </c>
      <c r="I27" t="s">
        <v>44</v>
      </c>
      <c r="J27" t="s">
        <v>53</v>
      </c>
      <c r="K27" t="s">
        <v>32</v>
      </c>
      <c r="L27">
        <v>2019</v>
      </c>
      <c r="M27">
        <v>7</v>
      </c>
      <c r="N27">
        <v>98000</v>
      </c>
      <c r="O27">
        <v>15</v>
      </c>
      <c r="P27">
        <v>14700</v>
      </c>
      <c r="Q27">
        <v>97</v>
      </c>
      <c r="R27" t="s">
        <v>45</v>
      </c>
      <c r="S27" t="s">
        <v>34</v>
      </c>
      <c r="T27" t="s">
        <v>35</v>
      </c>
      <c r="U27" t="s">
        <v>36</v>
      </c>
      <c r="V27">
        <v>8</v>
      </c>
      <c r="W27">
        <v>6</v>
      </c>
    </row>
    <row r="28" spans="1:23">
      <c r="A28">
        <v>1027</v>
      </c>
      <c r="B28" t="s">
        <v>183</v>
      </c>
      <c r="C28" t="s">
        <v>184</v>
      </c>
      <c r="D28" t="s">
        <v>185</v>
      </c>
      <c r="E28" t="s">
        <v>186</v>
      </c>
      <c r="F28" t="s">
        <v>58</v>
      </c>
      <c r="G28" t="s">
        <v>187</v>
      </c>
      <c r="H28" t="s">
        <v>188</v>
      </c>
      <c r="I28" t="s">
        <v>189</v>
      </c>
      <c r="J28" t="s">
        <v>31</v>
      </c>
      <c r="K28" t="s">
        <v>32</v>
      </c>
      <c r="L28">
        <v>2018</v>
      </c>
      <c r="M28">
        <v>8</v>
      </c>
      <c r="N28">
        <v>79000</v>
      </c>
      <c r="O28">
        <v>12</v>
      </c>
      <c r="P28">
        <v>9480</v>
      </c>
      <c r="Q28">
        <v>86</v>
      </c>
      <c r="R28" t="s">
        <v>33</v>
      </c>
      <c r="S28" t="s">
        <v>34</v>
      </c>
      <c r="T28" t="s">
        <v>64</v>
      </c>
      <c r="U28" t="s">
        <v>65</v>
      </c>
      <c r="V28">
        <v>4</v>
      </c>
      <c r="W28">
        <v>12</v>
      </c>
    </row>
    <row r="29" spans="1:23">
      <c r="A29">
        <v>1028</v>
      </c>
      <c r="B29" t="s">
        <v>190</v>
      </c>
      <c r="C29" t="s">
        <v>191</v>
      </c>
      <c r="D29" t="s">
        <v>192</v>
      </c>
      <c r="E29" t="s">
        <v>193</v>
      </c>
      <c r="F29" t="s">
        <v>41</v>
      </c>
      <c r="G29" t="s">
        <v>194</v>
      </c>
      <c r="H29" t="s">
        <v>96</v>
      </c>
      <c r="I29" t="s">
        <v>97</v>
      </c>
      <c r="J29" t="s">
        <v>31</v>
      </c>
      <c r="K29" t="s">
        <v>32</v>
      </c>
      <c r="L29">
        <v>2020</v>
      </c>
      <c r="M29">
        <v>6</v>
      </c>
      <c r="N29">
        <v>61000</v>
      </c>
      <c r="O29">
        <v>12</v>
      </c>
      <c r="P29">
        <v>7320</v>
      </c>
      <c r="Q29">
        <v>90</v>
      </c>
      <c r="R29" t="s">
        <v>45</v>
      </c>
      <c r="S29" t="s">
        <v>34</v>
      </c>
      <c r="T29" t="s">
        <v>46</v>
      </c>
      <c r="U29" t="s">
        <v>47</v>
      </c>
      <c r="V29">
        <v>5</v>
      </c>
      <c r="W29">
        <v>8</v>
      </c>
    </row>
    <row r="30" spans="1:23">
      <c r="A30">
        <v>1029</v>
      </c>
      <c r="B30" t="s">
        <v>195</v>
      </c>
      <c r="C30" t="s">
        <v>196</v>
      </c>
      <c r="D30" t="s">
        <v>197</v>
      </c>
      <c r="E30" t="s">
        <v>198</v>
      </c>
      <c r="F30" t="s">
        <v>27</v>
      </c>
      <c r="G30" t="s">
        <v>199</v>
      </c>
      <c r="H30" t="s">
        <v>29</v>
      </c>
      <c r="I30" t="s">
        <v>30</v>
      </c>
      <c r="J30" t="s">
        <v>62</v>
      </c>
      <c r="K30" t="s">
        <v>32</v>
      </c>
      <c r="L30">
        <v>2021</v>
      </c>
      <c r="M30">
        <v>5</v>
      </c>
      <c r="N30">
        <v>73000</v>
      </c>
      <c r="O30">
        <v>8</v>
      </c>
      <c r="P30">
        <v>5840</v>
      </c>
      <c r="Q30">
        <v>80</v>
      </c>
      <c r="R30" t="s">
        <v>33</v>
      </c>
      <c r="S30" t="s">
        <v>34</v>
      </c>
      <c r="T30" t="s">
        <v>35</v>
      </c>
      <c r="U30" t="s">
        <v>36</v>
      </c>
      <c r="V30">
        <v>4</v>
      </c>
      <c r="W30">
        <v>14</v>
      </c>
    </row>
    <row r="31" spans="1:23">
      <c r="A31">
        <v>1030</v>
      </c>
      <c r="B31" t="s">
        <v>200</v>
      </c>
      <c r="C31" t="s">
        <v>201</v>
      </c>
      <c r="D31" t="s">
        <v>202</v>
      </c>
      <c r="E31" t="s">
        <v>203</v>
      </c>
      <c r="F31" t="s">
        <v>121</v>
      </c>
      <c r="G31" t="s">
        <v>204</v>
      </c>
      <c r="H31" t="s">
        <v>96</v>
      </c>
      <c r="I31" t="s">
        <v>97</v>
      </c>
      <c r="J31" t="s">
        <v>53</v>
      </c>
      <c r="K31" t="s">
        <v>32</v>
      </c>
      <c r="L31">
        <v>2022</v>
      </c>
      <c r="M31">
        <v>4</v>
      </c>
      <c r="N31">
        <v>59000</v>
      </c>
      <c r="O31">
        <v>12</v>
      </c>
      <c r="P31">
        <v>7080</v>
      </c>
      <c r="Q31">
        <v>87</v>
      </c>
      <c r="R31" t="s">
        <v>33</v>
      </c>
      <c r="S31" t="s">
        <v>34</v>
      </c>
      <c r="T31" t="s">
        <v>46</v>
      </c>
      <c r="U31" t="s">
        <v>123</v>
      </c>
      <c r="V31">
        <v>3</v>
      </c>
      <c r="W31">
        <v>11</v>
      </c>
    </row>
    <row r="32" spans="1:23">
      <c r="A32">
        <v>1031</v>
      </c>
      <c r="B32" t="s">
        <v>205</v>
      </c>
      <c r="C32" t="s">
        <v>150</v>
      </c>
      <c r="D32" t="s">
        <v>206</v>
      </c>
      <c r="E32" t="s">
        <v>207</v>
      </c>
      <c r="F32" t="s">
        <v>27</v>
      </c>
      <c r="G32" t="s">
        <v>208</v>
      </c>
      <c r="H32" t="s">
        <v>60</v>
      </c>
      <c r="I32" t="s">
        <v>61</v>
      </c>
      <c r="J32" t="s">
        <v>31</v>
      </c>
      <c r="K32" t="s">
        <v>32</v>
      </c>
      <c r="L32">
        <v>2016</v>
      </c>
      <c r="M32">
        <v>10</v>
      </c>
      <c r="N32">
        <v>125000</v>
      </c>
      <c r="O32">
        <v>15</v>
      </c>
      <c r="P32">
        <v>18750</v>
      </c>
      <c r="Q32">
        <v>95</v>
      </c>
      <c r="R32" t="s">
        <v>45</v>
      </c>
      <c r="S32" t="s">
        <v>34</v>
      </c>
      <c r="T32" t="s">
        <v>35</v>
      </c>
      <c r="U32" t="s">
        <v>36</v>
      </c>
      <c r="V32">
        <v>9</v>
      </c>
      <c r="W32">
        <v>7</v>
      </c>
    </row>
    <row r="33" spans="1:23">
      <c r="A33">
        <v>1032</v>
      </c>
      <c r="B33" t="s">
        <v>209</v>
      </c>
      <c r="C33" t="s">
        <v>210</v>
      </c>
      <c r="D33" t="s">
        <v>211</v>
      </c>
      <c r="E33" t="s">
        <v>212</v>
      </c>
      <c r="F33" t="s">
        <v>58</v>
      </c>
      <c r="G33" t="s">
        <v>59</v>
      </c>
      <c r="H33" t="s">
        <v>188</v>
      </c>
      <c r="I33" t="s">
        <v>189</v>
      </c>
      <c r="J33" t="s">
        <v>62</v>
      </c>
      <c r="K33" t="s">
        <v>32</v>
      </c>
      <c r="L33">
        <v>2022</v>
      </c>
      <c r="M33">
        <v>4</v>
      </c>
      <c r="N33">
        <v>60000</v>
      </c>
      <c r="O33">
        <v>8</v>
      </c>
      <c r="P33">
        <v>4800</v>
      </c>
      <c r="Q33">
        <v>78</v>
      </c>
      <c r="R33" t="s">
        <v>63</v>
      </c>
      <c r="S33" t="s">
        <v>34</v>
      </c>
      <c r="T33" t="s">
        <v>64</v>
      </c>
      <c r="U33" t="s">
        <v>65</v>
      </c>
      <c r="V33">
        <v>3</v>
      </c>
      <c r="W33">
        <v>15</v>
      </c>
    </row>
    <row r="34" spans="1:23">
      <c r="A34">
        <v>1033</v>
      </c>
      <c r="B34" t="s">
        <v>213</v>
      </c>
      <c r="C34" t="s">
        <v>24</v>
      </c>
      <c r="D34" t="s">
        <v>214</v>
      </c>
      <c r="E34" t="s">
        <v>215</v>
      </c>
      <c r="F34" t="s">
        <v>80</v>
      </c>
      <c r="G34" t="s">
        <v>216</v>
      </c>
      <c r="H34" t="s">
        <v>103</v>
      </c>
      <c r="I34" t="s">
        <v>104</v>
      </c>
      <c r="J34" t="s">
        <v>31</v>
      </c>
      <c r="K34" t="s">
        <v>32</v>
      </c>
      <c r="L34">
        <v>2017</v>
      </c>
      <c r="M34">
        <v>9</v>
      </c>
      <c r="N34">
        <v>98000</v>
      </c>
      <c r="O34">
        <v>15</v>
      </c>
      <c r="P34">
        <v>14700</v>
      </c>
      <c r="Q34">
        <v>93</v>
      </c>
      <c r="R34" t="s">
        <v>45</v>
      </c>
      <c r="S34" t="s">
        <v>34</v>
      </c>
      <c r="T34" t="s">
        <v>46</v>
      </c>
      <c r="U34" t="s">
        <v>82</v>
      </c>
      <c r="V34">
        <v>7</v>
      </c>
      <c r="W34">
        <v>9</v>
      </c>
    </row>
    <row r="35" spans="1:23">
      <c r="A35">
        <v>1034</v>
      </c>
      <c r="B35" t="s">
        <v>217</v>
      </c>
      <c r="C35" t="s">
        <v>218</v>
      </c>
      <c r="D35" t="s">
        <v>219</v>
      </c>
      <c r="E35" t="s">
        <v>220</v>
      </c>
      <c r="F35" t="s">
        <v>27</v>
      </c>
      <c r="G35" t="s">
        <v>221</v>
      </c>
      <c r="H35" t="s">
        <v>29</v>
      </c>
      <c r="I35" t="s">
        <v>30</v>
      </c>
      <c r="J35" t="s">
        <v>62</v>
      </c>
      <c r="K35" t="s">
        <v>32</v>
      </c>
      <c r="L35">
        <v>2023</v>
      </c>
      <c r="M35">
        <v>3</v>
      </c>
      <c r="N35">
        <v>52000</v>
      </c>
      <c r="O35">
        <v>8</v>
      </c>
      <c r="P35">
        <v>4160</v>
      </c>
      <c r="Q35">
        <v>75</v>
      </c>
      <c r="R35" t="s">
        <v>63</v>
      </c>
      <c r="S35" t="s">
        <v>34</v>
      </c>
      <c r="T35" t="s">
        <v>35</v>
      </c>
      <c r="U35" t="s">
        <v>36</v>
      </c>
      <c r="V35">
        <v>2</v>
      </c>
      <c r="W35">
        <v>18</v>
      </c>
    </row>
    <row r="36" spans="1:23">
      <c r="A36">
        <v>1035</v>
      </c>
      <c r="B36" t="s">
        <v>155</v>
      </c>
      <c r="C36" t="s">
        <v>118</v>
      </c>
      <c r="D36" t="s">
        <v>222</v>
      </c>
      <c r="E36" t="s">
        <v>223</v>
      </c>
      <c r="F36" t="s">
        <v>114</v>
      </c>
      <c r="G36" t="s">
        <v>224</v>
      </c>
      <c r="H36" t="s">
        <v>148</v>
      </c>
      <c r="I36" t="s">
        <v>30</v>
      </c>
      <c r="J36" t="s">
        <v>31</v>
      </c>
      <c r="K36" t="s">
        <v>32</v>
      </c>
      <c r="L36">
        <v>2021</v>
      </c>
      <c r="M36">
        <v>5</v>
      </c>
      <c r="N36">
        <v>62000</v>
      </c>
      <c r="O36">
        <v>8</v>
      </c>
      <c r="P36">
        <v>4960</v>
      </c>
      <c r="Q36">
        <v>83</v>
      </c>
      <c r="R36" t="s">
        <v>33</v>
      </c>
      <c r="S36" t="s">
        <v>34</v>
      </c>
      <c r="T36" t="s">
        <v>46</v>
      </c>
      <c r="U36" t="s">
        <v>116</v>
      </c>
      <c r="V36">
        <v>4</v>
      </c>
    </row>
    <row r="37" spans="1:23">
      <c r="A37">
        <v>1036</v>
      </c>
      <c r="B37" t="s">
        <v>225</v>
      </c>
      <c r="C37" t="s">
        <v>226</v>
      </c>
      <c r="D37" t="s">
        <v>227</v>
      </c>
      <c r="E37" t="s">
        <v>228</v>
      </c>
      <c r="F37" t="s">
        <v>41</v>
      </c>
      <c r="G37" t="s">
        <v>229</v>
      </c>
      <c r="H37" t="s">
        <v>43</v>
      </c>
      <c r="I37" t="s">
        <v>44</v>
      </c>
      <c r="J37" t="s">
        <v>53</v>
      </c>
      <c r="K37" t="s">
        <v>32</v>
      </c>
      <c r="L37">
        <v>2022</v>
      </c>
      <c r="M37">
        <v>4</v>
      </c>
      <c r="N37">
        <v>56000</v>
      </c>
      <c r="O37">
        <v>12</v>
      </c>
      <c r="P37">
        <v>6720</v>
      </c>
      <c r="Q37">
        <v>88</v>
      </c>
      <c r="R37" t="s">
        <v>33</v>
      </c>
      <c r="S37" t="s">
        <v>34</v>
      </c>
      <c r="T37" t="s">
        <v>46</v>
      </c>
      <c r="U37" t="s">
        <v>47</v>
      </c>
      <c r="V37">
        <v>3</v>
      </c>
      <c r="W37">
        <v>10</v>
      </c>
    </row>
    <row r="38" spans="1:23">
      <c r="A38">
        <v>1037</v>
      </c>
      <c r="B38" t="s">
        <v>230</v>
      </c>
      <c r="C38" t="s">
        <v>231</v>
      </c>
      <c r="D38" t="s">
        <v>232</v>
      </c>
      <c r="E38" t="s">
        <v>233</v>
      </c>
      <c r="F38" t="s">
        <v>27</v>
      </c>
      <c r="G38" t="s">
        <v>234</v>
      </c>
      <c r="H38" t="s">
        <v>138</v>
      </c>
      <c r="I38" t="s">
        <v>138</v>
      </c>
      <c r="J38" t="s">
        <v>62</v>
      </c>
      <c r="K38" t="s">
        <v>32</v>
      </c>
      <c r="L38">
        <v>2019</v>
      </c>
      <c r="M38">
        <v>7</v>
      </c>
      <c r="N38">
        <v>72000</v>
      </c>
      <c r="O38">
        <v>8</v>
      </c>
      <c r="P38">
        <v>5760</v>
      </c>
      <c r="Q38">
        <v>84</v>
      </c>
      <c r="R38" t="s">
        <v>33</v>
      </c>
      <c r="S38" t="s">
        <v>34</v>
      </c>
      <c r="T38" t="s">
        <v>35</v>
      </c>
      <c r="U38" t="s">
        <v>36</v>
      </c>
      <c r="V38">
        <v>5</v>
      </c>
      <c r="W38">
        <v>12</v>
      </c>
    </row>
    <row r="39" spans="1:23">
      <c r="A39">
        <v>1038</v>
      </c>
      <c r="B39" t="s">
        <v>235</v>
      </c>
      <c r="C39" t="s">
        <v>236</v>
      </c>
      <c r="D39" t="s">
        <v>237</v>
      </c>
      <c r="E39" t="s">
        <v>238</v>
      </c>
      <c r="F39" t="s">
        <v>121</v>
      </c>
      <c r="G39" t="s">
        <v>239</v>
      </c>
      <c r="H39" t="s">
        <v>43</v>
      </c>
      <c r="I39" t="s">
        <v>44</v>
      </c>
      <c r="J39" t="s">
        <v>31</v>
      </c>
      <c r="K39" t="s">
        <v>32</v>
      </c>
      <c r="L39">
        <v>2018</v>
      </c>
      <c r="M39">
        <v>8</v>
      </c>
      <c r="N39">
        <v>88000</v>
      </c>
      <c r="O39">
        <v>15</v>
      </c>
      <c r="P39">
        <v>13200</v>
      </c>
      <c r="Q39">
        <v>92</v>
      </c>
      <c r="R39" t="s">
        <v>45</v>
      </c>
      <c r="S39" t="s">
        <v>34</v>
      </c>
      <c r="T39" t="s">
        <v>46</v>
      </c>
      <c r="U39" t="s">
        <v>123</v>
      </c>
      <c r="V39">
        <v>6</v>
      </c>
      <c r="W39">
        <v>8</v>
      </c>
    </row>
    <row r="40" spans="1:23">
      <c r="A40">
        <v>1039</v>
      </c>
      <c r="B40" t="s">
        <v>124</v>
      </c>
      <c r="C40" t="s">
        <v>240</v>
      </c>
      <c r="D40" t="s">
        <v>241</v>
      </c>
      <c r="E40" t="s">
        <v>242</v>
      </c>
      <c r="F40" t="s">
        <v>27</v>
      </c>
      <c r="G40" t="s">
        <v>243</v>
      </c>
      <c r="H40" t="s">
        <v>29</v>
      </c>
      <c r="I40" t="s">
        <v>30</v>
      </c>
      <c r="J40" t="s">
        <v>31</v>
      </c>
      <c r="K40" t="s">
        <v>32</v>
      </c>
      <c r="L40">
        <v>2023</v>
      </c>
      <c r="M40">
        <v>3</v>
      </c>
      <c r="N40">
        <v>56000</v>
      </c>
      <c r="O40">
        <v>12</v>
      </c>
      <c r="P40">
        <v>6720</v>
      </c>
      <c r="Q40">
        <v>86</v>
      </c>
      <c r="R40" t="s">
        <v>33</v>
      </c>
      <c r="S40" t="s">
        <v>34</v>
      </c>
      <c r="T40" t="s">
        <v>35</v>
      </c>
      <c r="U40" t="s">
        <v>36</v>
      </c>
      <c r="V40">
        <v>3</v>
      </c>
      <c r="W40">
        <v>15</v>
      </c>
    </row>
    <row r="41" spans="1:23">
      <c r="A41">
        <v>1040</v>
      </c>
      <c r="B41" t="s">
        <v>244</v>
      </c>
      <c r="C41" t="s">
        <v>245</v>
      </c>
      <c r="D41" t="s">
        <v>246</v>
      </c>
      <c r="E41" t="s">
        <v>247</v>
      </c>
      <c r="F41" t="s">
        <v>58</v>
      </c>
      <c r="G41" t="s">
        <v>248</v>
      </c>
      <c r="H41" t="s">
        <v>249</v>
      </c>
      <c r="I41" t="s">
        <v>30</v>
      </c>
      <c r="J41" t="s">
        <v>62</v>
      </c>
      <c r="K41" t="s">
        <v>32</v>
      </c>
      <c r="L41">
        <v>2024</v>
      </c>
      <c r="M41">
        <v>2</v>
      </c>
      <c r="N41">
        <v>44000</v>
      </c>
      <c r="O41">
        <v>5</v>
      </c>
      <c r="P41">
        <v>2200</v>
      </c>
      <c r="Q41">
        <v>74</v>
      </c>
      <c r="R41" t="s">
        <v>63</v>
      </c>
      <c r="S41" t="s">
        <v>34</v>
      </c>
      <c r="T41" t="s">
        <v>64</v>
      </c>
      <c r="U41" t="s">
        <v>65</v>
      </c>
      <c r="V41">
        <v>2</v>
      </c>
      <c r="W41">
        <v>17</v>
      </c>
    </row>
    <row r="42" spans="1:23">
      <c r="A42">
        <v>1041</v>
      </c>
      <c r="B42" t="s">
        <v>250</v>
      </c>
      <c r="C42" t="s">
        <v>251</v>
      </c>
      <c r="D42" t="s">
        <v>252</v>
      </c>
      <c r="E42" t="s">
        <v>253</v>
      </c>
      <c r="F42" t="s">
        <v>80</v>
      </c>
      <c r="G42" t="s">
        <v>254</v>
      </c>
      <c r="H42" t="s">
        <v>255</v>
      </c>
      <c r="I42" t="s">
        <v>104</v>
      </c>
      <c r="J42" t="s">
        <v>31</v>
      </c>
      <c r="K42" t="s">
        <v>32</v>
      </c>
      <c r="L42">
        <v>2020</v>
      </c>
      <c r="M42">
        <v>6</v>
      </c>
      <c r="N42">
        <v>82000</v>
      </c>
      <c r="O42">
        <v>12</v>
      </c>
      <c r="P42">
        <v>9840</v>
      </c>
      <c r="Q42">
        <v>89</v>
      </c>
      <c r="R42" t="s">
        <v>33</v>
      </c>
      <c r="S42" t="s">
        <v>34</v>
      </c>
      <c r="T42" t="s">
        <v>46</v>
      </c>
      <c r="U42" t="s">
        <v>82</v>
      </c>
      <c r="V42">
        <v>5</v>
      </c>
      <c r="W42">
        <v>9</v>
      </c>
    </row>
    <row r="43" spans="1:23">
      <c r="A43">
        <v>1042</v>
      </c>
      <c r="B43" t="s">
        <v>256</v>
      </c>
      <c r="C43" t="s">
        <v>257</v>
      </c>
      <c r="D43" t="s">
        <v>258</v>
      </c>
      <c r="E43" t="s">
        <v>259</v>
      </c>
      <c r="F43" t="s">
        <v>27</v>
      </c>
      <c r="G43" t="s">
        <v>260</v>
      </c>
      <c r="H43" t="s">
        <v>29</v>
      </c>
      <c r="I43" t="s">
        <v>30</v>
      </c>
      <c r="J43" t="s">
        <v>53</v>
      </c>
      <c r="K43" t="s">
        <v>32</v>
      </c>
      <c r="L43">
        <v>2021</v>
      </c>
      <c r="M43">
        <v>5</v>
      </c>
      <c r="N43">
        <v>68000</v>
      </c>
      <c r="O43">
        <v>15</v>
      </c>
      <c r="P43">
        <v>10200</v>
      </c>
      <c r="Q43">
        <v>94</v>
      </c>
      <c r="R43" t="s">
        <v>45</v>
      </c>
      <c r="S43" t="s">
        <v>34</v>
      </c>
      <c r="T43" t="s">
        <v>35</v>
      </c>
      <c r="U43" t="s">
        <v>36</v>
      </c>
      <c r="V43">
        <v>6</v>
      </c>
      <c r="W43">
        <v>7</v>
      </c>
    </row>
    <row r="44" spans="1:23">
      <c r="A44">
        <v>1043</v>
      </c>
      <c r="B44" t="s">
        <v>261</v>
      </c>
      <c r="C44" t="s">
        <v>262</v>
      </c>
      <c r="D44" t="s">
        <v>263</v>
      </c>
      <c r="E44" t="s">
        <v>264</v>
      </c>
      <c r="F44" t="s">
        <v>114</v>
      </c>
      <c r="G44" t="s">
        <v>265</v>
      </c>
      <c r="H44" t="s">
        <v>43</v>
      </c>
      <c r="I44" t="s">
        <v>44</v>
      </c>
      <c r="J44" t="s">
        <v>62</v>
      </c>
      <c r="K44" t="s">
        <v>32</v>
      </c>
      <c r="L44">
        <v>2022</v>
      </c>
      <c r="M44">
        <v>4</v>
      </c>
      <c r="N44">
        <v>58000</v>
      </c>
      <c r="O44">
        <v>8</v>
      </c>
      <c r="P44">
        <v>4640</v>
      </c>
      <c r="Q44">
        <v>81</v>
      </c>
      <c r="R44" t="s">
        <v>33</v>
      </c>
      <c r="S44" t="s">
        <v>34</v>
      </c>
      <c r="T44" t="s">
        <v>46</v>
      </c>
      <c r="U44" t="s">
        <v>116</v>
      </c>
      <c r="V44">
        <v>3</v>
      </c>
      <c r="W44">
        <v>14</v>
      </c>
    </row>
    <row r="45" spans="1:23">
      <c r="A45">
        <v>1044</v>
      </c>
      <c r="B45" t="s">
        <v>266</v>
      </c>
      <c r="C45" t="s">
        <v>257</v>
      </c>
      <c r="D45" t="s">
        <v>267</v>
      </c>
      <c r="E45" t="s">
        <v>268</v>
      </c>
      <c r="F45" t="s">
        <v>41</v>
      </c>
      <c r="G45" t="s">
        <v>269</v>
      </c>
      <c r="H45" t="s">
        <v>60</v>
      </c>
      <c r="I45" t="s">
        <v>61</v>
      </c>
      <c r="J45" t="s">
        <v>31</v>
      </c>
      <c r="K45" t="s">
        <v>32</v>
      </c>
      <c r="L45">
        <v>2018</v>
      </c>
      <c r="M45">
        <v>8</v>
      </c>
      <c r="N45">
        <v>85000</v>
      </c>
      <c r="O45">
        <v>12</v>
      </c>
      <c r="P45">
        <v>10200</v>
      </c>
      <c r="Q45">
        <v>91</v>
      </c>
      <c r="R45" t="s">
        <v>45</v>
      </c>
      <c r="S45" t="s">
        <v>34</v>
      </c>
      <c r="T45" t="s">
        <v>46</v>
      </c>
      <c r="U45" t="s">
        <v>47</v>
      </c>
      <c r="V45">
        <v>6</v>
      </c>
      <c r="W45">
        <v>6</v>
      </c>
    </row>
    <row r="46" spans="1:23">
      <c r="A46">
        <v>1045</v>
      </c>
      <c r="B46" t="s">
        <v>270</v>
      </c>
      <c r="C46" t="s">
        <v>24</v>
      </c>
      <c r="D46" t="s">
        <v>271</v>
      </c>
      <c r="E46" t="s">
        <v>272</v>
      </c>
      <c r="F46" t="s">
        <v>27</v>
      </c>
      <c r="G46" t="s">
        <v>273</v>
      </c>
      <c r="H46" t="s">
        <v>103</v>
      </c>
      <c r="I46" t="s">
        <v>104</v>
      </c>
      <c r="J46" t="s">
        <v>53</v>
      </c>
      <c r="K46" t="s">
        <v>32</v>
      </c>
      <c r="L46">
        <v>2017</v>
      </c>
      <c r="M46">
        <v>9</v>
      </c>
      <c r="N46">
        <v>102000</v>
      </c>
      <c r="O46">
        <v>15</v>
      </c>
      <c r="P46">
        <v>15300</v>
      </c>
      <c r="Q46">
        <v>96</v>
      </c>
      <c r="R46" t="s">
        <v>45</v>
      </c>
      <c r="S46" t="s">
        <v>34</v>
      </c>
      <c r="T46" t="s">
        <v>35</v>
      </c>
      <c r="U46" t="s">
        <v>36</v>
      </c>
      <c r="V46">
        <v>8</v>
      </c>
      <c r="W46">
        <v>5</v>
      </c>
    </row>
    <row r="47" spans="1:23">
      <c r="A47">
        <v>1046</v>
      </c>
      <c r="B47" t="s">
        <v>274</v>
      </c>
      <c r="C47" t="s">
        <v>275</v>
      </c>
      <c r="D47" t="s">
        <v>276</v>
      </c>
      <c r="E47" t="s">
        <v>277</v>
      </c>
      <c r="F47" t="s">
        <v>58</v>
      </c>
      <c r="G47" t="s">
        <v>278</v>
      </c>
      <c r="H47" t="s">
        <v>255</v>
      </c>
      <c r="I47" t="s">
        <v>104</v>
      </c>
      <c r="J47" t="s">
        <v>62</v>
      </c>
      <c r="K47" t="s">
        <v>32</v>
      </c>
      <c r="L47">
        <v>2016</v>
      </c>
      <c r="M47">
        <v>10</v>
      </c>
      <c r="N47">
        <v>110000</v>
      </c>
      <c r="O47">
        <v>15</v>
      </c>
      <c r="P47">
        <v>16500</v>
      </c>
      <c r="Q47">
        <v>94</v>
      </c>
      <c r="R47" t="s">
        <v>45</v>
      </c>
      <c r="S47" t="s">
        <v>34</v>
      </c>
      <c r="T47" t="s">
        <v>64</v>
      </c>
      <c r="U47" t="s">
        <v>65</v>
      </c>
      <c r="V47">
        <v>7</v>
      </c>
      <c r="W47">
        <v>8</v>
      </c>
    </row>
    <row r="48" spans="1:23">
      <c r="A48">
        <v>1047</v>
      </c>
      <c r="B48" t="s">
        <v>279</v>
      </c>
      <c r="C48" t="s">
        <v>280</v>
      </c>
      <c r="D48" t="s">
        <v>281</v>
      </c>
      <c r="E48" t="s">
        <v>282</v>
      </c>
      <c r="F48" t="s">
        <v>80</v>
      </c>
      <c r="G48" t="s">
        <v>81</v>
      </c>
      <c r="H48" t="s">
        <v>172</v>
      </c>
      <c r="I48" t="s">
        <v>173</v>
      </c>
      <c r="J48" t="s">
        <v>62</v>
      </c>
      <c r="K48" t="s">
        <v>32</v>
      </c>
      <c r="L48">
        <v>2024</v>
      </c>
      <c r="M48">
        <v>2</v>
      </c>
      <c r="N48">
        <v>43000</v>
      </c>
      <c r="O48">
        <v>5</v>
      </c>
      <c r="P48">
        <v>2150</v>
      </c>
      <c r="Q48">
        <v>69</v>
      </c>
      <c r="R48" t="s">
        <v>283</v>
      </c>
      <c r="S48" t="s">
        <v>34</v>
      </c>
      <c r="T48" t="s">
        <v>46</v>
      </c>
      <c r="U48" t="s">
        <v>82</v>
      </c>
      <c r="V48">
        <v>2</v>
      </c>
      <c r="W48">
        <v>18</v>
      </c>
    </row>
    <row r="49" spans="1:23">
      <c r="A49">
        <v>1048</v>
      </c>
      <c r="B49" t="s">
        <v>284</v>
      </c>
      <c r="C49" t="s">
        <v>218</v>
      </c>
      <c r="D49" t="s">
        <v>285</v>
      </c>
      <c r="E49" t="s">
        <v>286</v>
      </c>
      <c r="F49" t="s">
        <v>27</v>
      </c>
      <c r="G49" t="s">
        <v>287</v>
      </c>
      <c r="H49" t="s">
        <v>148</v>
      </c>
      <c r="I49" t="s">
        <v>30</v>
      </c>
      <c r="J49" t="s">
        <v>31</v>
      </c>
      <c r="K49" t="s">
        <v>32</v>
      </c>
      <c r="L49">
        <v>2020</v>
      </c>
      <c r="M49">
        <v>6</v>
      </c>
      <c r="N49">
        <v>69000</v>
      </c>
      <c r="O49">
        <v>12</v>
      </c>
      <c r="P49">
        <v>8280</v>
      </c>
      <c r="Q49">
        <v>87</v>
      </c>
      <c r="R49" t="s">
        <v>33</v>
      </c>
      <c r="S49" t="s">
        <v>34</v>
      </c>
      <c r="T49" t="s">
        <v>35</v>
      </c>
      <c r="U49" t="s">
        <v>36</v>
      </c>
      <c r="V49">
        <v>5</v>
      </c>
      <c r="W49">
        <v>11</v>
      </c>
    </row>
    <row r="50" spans="1:23">
      <c r="A50">
        <v>1049</v>
      </c>
      <c r="B50" t="s">
        <v>288</v>
      </c>
      <c r="C50" t="s">
        <v>289</v>
      </c>
      <c r="D50" t="s">
        <v>290</v>
      </c>
      <c r="E50" t="s">
        <v>291</v>
      </c>
      <c r="F50" t="s">
        <v>114</v>
      </c>
      <c r="G50" t="s">
        <v>292</v>
      </c>
      <c r="H50" t="s">
        <v>60</v>
      </c>
      <c r="I50" t="s">
        <v>61</v>
      </c>
      <c r="J50" t="s">
        <v>31</v>
      </c>
      <c r="K50" t="s">
        <v>32</v>
      </c>
      <c r="L50">
        <v>2021</v>
      </c>
      <c r="M50">
        <v>5</v>
      </c>
      <c r="N50">
        <v>60000</v>
      </c>
      <c r="O50">
        <v>12</v>
      </c>
      <c r="P50">
        <v>7200</v>
      </c>
      <c r="Q50">
        <v>85</v>
      </c>
      <c r="R50" t="s">
        <v>33</v>
      </c>
      <c r="S50" t="s">
        <v>34</v>
      </c>
      <c r="T50" t="s">
        <v>46</v>
      </c>
      <c r="U50" t="s">
        <v>116</v>
      </c>
      <c r="V50">
        <v>4</v>
      </c>
      <c r="W50">
        <v>13</v>
      </c>
    </row>
    <row r="51" spans="1:23">
      <c r="A51">
        <v>1050</v>
      </c>
      <c r="B51" t="s">
        <v>293</v>
      </c>
      <c r="C51" t="s">
        <v>257</v>
      </c>
      <c r="D51" t="s">
        <v>294</v>
      </c>
      <c r="E51" t="s">
        <v>295</v>
      </c>
      <c r="F51" t="s">
        <v>121</v>
      </c>
      <c r="G51" t="s">
        <v>296</v>
      </c>
      <c r="H51" t="s">
        <v>43</v>
      </c>
      <c r="I51" t="s">
        <v>44</v>
      </c>
      <c r="J51" t="s">
        <v>53</v>
      </c>
      <c r="K51" t="s">
        <v>32</v>
      </c>
      <c r="L51">
        <v>2019</v>
      </c>
      <c r="M51">
        <v>7</v>
      </c>
      <c r="N51">
        <v>81000</v>
      </c>
      <c r="O51">
        <v>12</v>
      </c>
      <c r="P51">
        <v>9720</v>
      </c>
      <c r="Q51">
        <v>90</v>
      </c>
      <c r="R51" t="s">
        <v>45</v>
      </c>
      <c r="S51" t="s">
        <v>34</v>
      </c>
      <c r="T51" t="s">
        <v>46</v>
      </c>
      <c r="U51" t="s">
        <v>123</v>
      </c>
      <c r="V51">
        <v>6</v>
      </c>
      <c r="W5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458A-C1E1-4B03-8523-70D9D205B253}">
  <dimension ref="A1:AG51"/>
  <sheetViews>
    <sheetView workbookViewId="0">
      <selection sqref="A1:AF51"/>
    </sheetView>
  </sheetViews>
  <sheetFormatPr defaultRowHeight="15"/>
  <cols>
    <col min="1" max="1" width="12.7109375" bestFit="1" customWidth="1"/>
    <col min="2" max="2" width="11.140625" bestFit="1" customWidth="1"/>
    <col min="3" max="3" width="10.85546875" bestFit="1" customWidth="1"/>
    <col min="4" max="4" width="15" bestFit="1" customWidth="1"/>
    <col min="5" max="5" width="28.7109375" bestFit="1" customWidth="1"/>
    <col min="6" max="6" width="11.7109375" bestFit="1" customWidth="1"/>
    <col min="7" max="7" width="30.42578125" bestFit="1" customWidth="1"/>
    <col min="8" max="8" width="11.7109375" bestFit="1" customWidth="1"/>
    <col min="9" max="9" width="12.42578125" bestFit="1" customWidth="1"/>
    <col min="10" max="10" width="12.140625" bestFit="1" customWidth="1"/>
    <col min="11" max="11" width="17.85546875" bestFit="1" customWidth="1"/>
    <col min="12" max="12" width="12.140625" bestFit="1" customWidth="1"/>
    <col min="13" max="13" width="16.7109375" bestFit="1" customWidth="1"/>
    <col min="14" max="14" width="13.7109375" bestFit="1" customWidth="1"/>
    <col min="15" max="15" width="17.7109375" bestFit="1" customWidth="1"/>
    <col min="16" max="16" width="14.85546875" bestFit="1" customWidth="1"/>
    <col min="17" max="17" width="18.5703125" bestFit="1" customWidth="1"/>
    <col min="18" max="18" width="19.28515625" bestFit="1" customWidth="1"/>
    <col min="19" max="19" width="6.5703125" bestFit="1" customWidth="1"/>
    <col min="20" max="20" width="9.85546875" bestFit="1" customWidth="1"/>
    <col min="21" max="21" width="41" bestFit="1" customWidth="1"/>
    <col min="22" max="22" width="14.5703125" bestFit="1" customWidth="1"/>
    <col min="23" max="23" width="19.5703125" bestFit="1" customWidth="1"/>
    <col min="24" max="24" width="13" bestFit="1" customWidth="1"/>
    <col min="25" max="25" width="12.5703125" bestFit="1" customWidth="1"/>
    <col min="26" max="26" width="17.140625" bestFit="1" customWidth="1"/>
    <col min="27" max="27" width="20.85546875" bestFit="1" customWidth="1"/>
    <col min="28" max="28" width="21" bestFit="1" customWidth="1"/>
    <col min="29" max="29" width="16.85546875" bestFit="1" customWidth="1"/>
    <col min="30" max="30" width="11.85546875" bestFit="1" customWidth="1"/>
    <col min="31" max="31" width="16.42578125" bestFit="1" customWidth="1"/>
    <col min="32" max="32" width="19" bestFit="1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297</v>
      </c>
      <c r="Y1" s="3" t="s">
        <v>298</v>
      </c>
      <c r="Z1" s="3" t="s">
        <v>299</v>
      </c>
      <c r="AA1" s="3" t="s">
        <v>300</v>
      </c>
      <c r="AB1" s="3" t="s">
        <v>301</v>
      </c>
      <c r="AC1" s="3" t="s">
        <v>302</v>
      </c>
      <c r="AD1" s="3" t="s">
        <v>303</v>
      </c>
      <c r="AE1" s="3" t="s">
        <v>304</v>
      </c>
      <c r="AF1" s="3" t="s">
        <v>305</v>
      </c>
      <c r="AG1" s="4"/>
    </row>
    <row r="2" spans="1:33">
      <c r="A2" s="1">
        <v>1001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2019</v>
      </c>
      <c r="M2" s="1">
        <v>7</v>
      </c>
      <c r="N2" s="1">
        <v>65000</v>
      </c>
      <c r="O2" s="1">
        <v>12</v>
      </c>
      <c r="P2" s="1">
        <v>7800</v>
      </c>
      <c r="Q2" s="1">
        <v>88</v>
      </c>
      <c r="R2" s="1" t="s">
        <v>33</v>
      </c>
      <c r="S2" s="1" t="s">
        <v>34</v>
      </c>
      <c r="T2" s="1" t="s">
        <v>35</v>
      </c>
      <c r="U2" s="1" t="s">
        <v>36</v>
      </c>
      <c r="V2" s="1">
        <v>2</v>
      </c>
      <c r="W2" s="1">
        <v>12</v>
      </c>
      <c r="X2" s="4" t="str">
        <f>IF(E2="","Missing Email","Available")</f>
        <v>Available</v>
      </c>
      <c r="Y2" s="4" t="str">
        <f>IF(U2="","Missing Skills","Available")</f>
        <v>Available</v>
      </c>
      <c r="Z2" s="4" t="str">
        <f>IF(T2="","Missing Education","Available")</f>
        <v>Available</v>
      </c>
      <c r="AA2" s="4" t="str">
        <f>IF(W2="","Missing Leave Balance","Available")</f>
        <v>Available</v>
      </c>
      <c r="AB2" s="4" t="str">
        <f>TRIM(B2&amp;" "&amp;C2)</f>
        <v>Arun Kumar</v>
      </c>
      <c r="AC2" s="4">
        <f>ROUND(N2*O2/100,0)</f>
        <v>7800</v>
      </c>
      <c r="AD2" s="4" t="str">
        <f>IF(N2&gt;=90000,"High",IF(N2&gt;=60000,"Medium","Low"))</f>
        <v>Medium</v>
      </c>
      <c r="AE2" s="4" t="str">
        <f>IF(M2&gt;=8,"Senior",IF(M2&gt;=5,"Mid-Level","Junior"))</f>
        <v>Mid-Level</v>
      </c>
      <c r="AF2" s="4" t="str">
        <f>IF(Q2&gt;=90,"Top Performer",IF(Q2&gt;=75,"Meets Expectations","Needs Improvement"))</f>
        <v>Meets Expectations</v>
      </c>
      <c r="AG2" s="4"/>
    </row>
    <row r="3" spans="1:33">
      <c r="A3" s="1">
        <v>1002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31</v>
      </c>
      <c r="K3" s="1" t="s">
        <v>32</v>
      </c>
      <c r="L3" s="1">
        <v>2018</v>
      </c>
      <c r="M3" s="1">
        <v>8</v>
      </c>
      <c r="N3" s="1">
        <v>75000</v>
      </c>
      <c r="O3" s="1">
        <v>15</v>
      </c>
      <c r="P3" s="1">
        <v>11250</v>
      </c>
      <c r="Q3" s="1">
        <v>92</v>
      </c>
      <c r="R3" s="1" t="s">
        <v>45</v>
      </c>
      <c r="S3" s="1" t="s">
        <v>34</v>
      </c>
      <c r="T3" s="1" t="s">
        <v>46</v>
      </c>
      <c r="U3" s="1" t="s">
        <v>47</v>
      </c>
      <c r="V3" s="1">
        <v>5</v>
      </c>
      <c r="W3" s="1">
        <v>8</v>
      </c>
      <c r="X3" s="4" t="str">
        <f t="shared" ref="X3:X51" si="0">IF(E3="","Missing Email","Available")</f>
        <v>Available</v>
      </c>
      <c r="Y3" s="4" t="str">
        <f t="shared" ref="Y3:Y51" si="1">IF(U3="","Missing Skills","Available")</f>
        <v>Available</v>
      </c>
      <c r="Z3" s="4" t="str">
        <f t="shared" ref="Z3:Z51" si="2">IF(T3="","Missing Education","Available")</f>
        <v>Available</v>
      </c>
      <c r="AA3" s="4" t="str">
        <f t="shared" ref="AA3:AA51" si="3">IF(W3="","Missing Leave Balance","Available")</f>
        <v>Available</v>
      </c>
      <c r="AB3" s="4" t="str">
        <f t="shared" ref="AB3:AB51" si="4">TRIM(B3&amp;" "&amp;C3)</f>
        <v>Priya Sharma</v>
      </c>
      <c r="AC3" s="4">
        <f t="shared" ref="AC3:AC51" si="5">ROUND(N3*O3/100,0)</f>
        <v>11250</v>
      </c>
      <c r="AD3" s="4" t="str">
        <f t="shared" ref="AD3:AD51" si="6">IF(N3&gt;=90000,"High",IF(N3&gt;=60000,"Medium","Low"))</f>
        <v>Medium</v>
      </c>
      <c r="AE3" s="4" t="str">
        <f t="shared" ref="AE3:AE51" si="7">IF(M3&gt;=8,"Senior",IF(M3&gt;=5,"Mid-Level","Junior"))</f>
        <v>Senior</v>
      </c>
      <c r="AF3" s="4" t="str">
        <f t="shared" ref="AF3:AF51" si="8">IF(Q3&gt;=90,"Top Performer",IF(Q3&gt;=75,"Meets Expectations","Needs Improvement"))</f>
        <v>Top Performer</v>
      </c>
      <c r="AG3" s="4"/>
    </row>
    <row r="4" spans="1:33">
      <c r="A4" s="1">
        <v>1003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27</v>
      </c>
      <c r="G4" s="1" t="s">
        <v>52</v>
      </c>
      <c r="H4" s="1" t="s">
        <v>29</v>
      </c>
      <c r="I4" s="1" t="s">
        <v>30</v>
      </c>
      <c r="J4" s="1" t="s">
        <v>53</v>
      </c>
      <c r="K4" s="1" t="s">
        <v>32</v>
      </c>
      <c r="L4" s="1">
        <v>2017</v>
      </c>
      <c r="M4" s="1">
        <v>9</v>
      </c>
      <c r="N4" s="1">
        <v>90000</v>
      </c>
      <c r="O4" s="1">
        <v>15</v>
      </c>
      <c r="P4" s="1">
        <v>13500</v>
      </c>
      <c r="Q4" s="1">
        <v>95</v>
      </c>
      <c r="R4" s="1" t="s">
        <v>45</v>
      </c>
      <c r="S4" s="1" t="s">
        <v>34</v>
      </c>
      <c r="T4" s="1" t="s">
        <v>35</v>
      </c>
      <c r="U4" s="1" t="s">
        <v>36</v>
      </c>
      <c r="V4" s="1">
        <v>7</v>
      </c>
      <c r="W4" s="1">
        <v>10</v>
      </c>
      <c r="X4" s="4" t="str">
        <f t="shared" si="0"/>
        <v>Available</v>
      </c>
      <c r="Y4" s="4" t="str">
        <f t="shared" si="1"/>
        <v>Available</v>
      </c>
      <c r="Z4" s="4" t="str">
        <f t="shared" si="2"/>
        <v>Available</v>
      </c>
      <c r="AA4" s="4" t="str">
        <f t="shared" si="3"/>
        <v>Available</v>
      </c>
      <c r="AB4" s="4" t="str">
        <f t="shared" si="4"/>
        <v>David Wilson</v>
      </c>
      <c r="AC4" s="4">
        <f t="shared" si="5"/>
        <v>13500</v>
      </c>
      <c r="AD4" s="4" t="str">
        <f t="shared" si="6"/>
        <v>High</v>
      </c>
      <c r="AE4" s="4" t="str">
        <f t="shared" si="7"/>
        <v>Senior</v>
      </c>
      <c r="AF4" s="4" t="str">
        <f t="shared" si="8"/>
        <v>Top Performer</v>
      </c>
      <c r="AG4" s="4"/>
    </row>
    <row r="5" spans="1:33">
      <c r="A5" s="1">
        <v>1004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32</v>
      </c>
      <c r="L5" s="1">
        <v>2020</v>
      </c>
      <c r="M5" s="1">
        <v>6</v>
      </c>
      <c r="N5" s="1">
        <v>65000</v>
      </c>
      <c r="O5" s="1">
        <v>8</v>
      </c>
      <c r="P5" s="1">
        <v>5200</v>
      </c>
      <c r="Q5" s="1">
        <v>78</v>
      </c>
      <c r="R5" s="1" t="s">
        <v>63</v>
      </c>
      <c r="S5" s="1" t="s">
        <v>34</v>
      </c>
      <c r="T5" s="1" t="s">
        <v>64</v>
      </c>
      <c r="U5" s="1" t="s">
        <v>65</v>
      </c>
      <c r="V5" s="1">
        <v>3</v>
      </c>
      <c r="W5" s="1">
        <v>15</v>
      </c>
      <c r="X5" s="4" t="str">
        <f t="shared" si="0"/>
        <v>Available</v>
      </c>
      <c r="Y5" s="4" t="str">
        <f t="shared" si="1"/>
        <v>Available</v>
      </c>
      <c r="Z5" s="4" t="str">
        <f t="shared" si="2"/>
        <v>Available</v>
      </c>
      <c r="AA5" s="4" t="str">
        <f t="shared" si="3"/>
        <v>Available</v>
      </c>
      <c r="AB5" s="4" t="str">
        <f t="shared" si="4"/>
        <v>Meena Ravi</v>
      </c>
      <c r="AC5" s="4">
        <f t="shared" si="5"/>
        <v>5200</v>
      </c>
      <c r="AD5" s="4" t="str">
        <f t="shared" si="6"/>
        <v>Medium</v>
      </c>
      <c r="AE5" s="4" t="str">
        <f t="shared" si="7"/>
        <v>Mid-Level</v>
      </c>
      <c r="AF5" s="4" t="str">
        <f t="shared" si="8"/>
        <v>Meets Expectations</v>
      </c>
      <c r="AG5" s="4"/>
    </row>
    <row r="6" spans="1:33">
      <c r="A6" s="1">
        <v>1005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27</v>
      </c>
      <c r="G6" s="1" t="s">
        <v>70</v>
      </c>
      <c r="H6" s="1" t="s">
        <v>43</v>
      </c>
      <c r="I6" s="1" t="s">
        <v>44</v>
      </c>
      <c r="J6" s="1" t="s">
        <v>31</v>
      </c>
      <c r="K6" s="1" t="s">
        <v>32</v>
      </c>
      <c r="L6" s="1">
        <v>2016</v>
      </c>
      <c r="M6" s="1">
        <v>10</v>
      </c>
      <c r="N6" s="1">
        <v>95000</v>
      </c>
      <c r="O6" s="1">
        <v>12</v>
      </c>
      <c r="P6" s="1">
        <v>11400</v>
      </c>
      <c r="Q6" s="1">
        <v>91</v>
      </c>
      <c r="R6" s="1" t="s">
        <v>45</v>
      </c>
      <c r="S6" s="1" t="s">
        <v>34</v>
      </c>
      <c r="T6" s="1" t="s">
        <v>35</v>
      </c>
      <c r="U6" s="1" t="s">
        <v>36</v>
      </c>
      <c r="V6" s="1">
        <v>8</v>
      </c>
      <c r="W6" s="1">
        <v>9</v>
      </c>
      <c r="X6" s="4" t="str">
        <f t="shared" si="0"/>
        <v>Available</v>
      </c>
      <c r="Y6" s="4" t="str">
        <f t="shared" si="1"/>
        <v>Available</v>
      </c>
      <c r="Z6" s="4" t="str">
        <f t="shared" si="2"/>
        <v>Available</v>
      </c>
      <c r="AA6" s="4" t="str">
        <f t="shared" si="3"/>
        <v>Available</v>
      </c>
      <c r="AB6" s="4" t="str">
        <f t="shared" si="4"/>
        <v>Rahul Verma</v>
      </c>
      <c r="AC6" s="4">
        <f t="shared" si="5"/>
        <v>11400</v>
      </c>
      <c r="AD6" s="4" t="str">
        <f t="shared" si="6"/>
        <v>High</v>
      </c>
      <c r="AE6" s="4" t="str">
        <f t="shared" si="7"/>
        <v>Senior</v>
      </c>
      <c r="AF6" s="4" t="str">
        <f t="shared" si="8"/>
        <v>Top Performer</v>
      </c>
      <c r="AG6" s="4"/>
    </row>
    <row r="7" spans="1:33">
      <c r="A7" s="1">
        <v>1006</v>
      </c>
      <c r="B7" s="1" t="s">
        <v>71</v>
      </c>
      <c r="C7" s="1" t="s">
        <v>72</v>
      </c>
      <c r="D7" s="1" t="s">
        <v>73</v>
      </c>
      <c r="E7" s="1" t="s">
        <v>74</v>
      </c>
      <c r="F7" s="1" t="s">
        <v>58</v>
      </c>
      <c r="G7" s="1" t="s">
        <v>75</v>
      </c>
      <c r="H7" s="1" t="s">
        <v>29</v>
      </c>
      <c r="I7" s="1" t="s">
        <v>30</v>
      </c>
      <c r="J7" s="1" t="s">
        <v>62</v>
      </c>
      <c r="K7" s="1" t="s">
        <v>32</v>
      </c>
      <c r="L7" s="1">
        <v>2017</v>
      </c>
      <c r="M7" s="1">
        <v>9</v>
      </c>
      <c r="N7" s="1">
        <v>85000</v>
      </c>
      <c r="O7" s="1">
        <v>12</v>
      </c>
      <c r="P7" s="1">
        <v>10200</v>
      </c>
      <c r="Q7" s="1">
        <v>89</v>
      </c>
      <c r="R7" s="1" t="s">
        <v>33</v>
      </c>
      <c r="S7" s="1" t="s">
        <v>34</v>
      </c>
      <c r="T7" s="1" t="s">
        <v>64</v>
      </c>
      <c r="U7" s="1" t="s">
        <v>65</v>
      </c>
      <c r="V7" s="1">
        <v>6</v>
      </c>
      <c r="W7" s="1">
        <v>11</v>
      </c>
      <c r="X7" s="4" t="str">
        <f t="shared" si="0"/>
        <v>Available</v>
      </c>
      <c r="Y7" s="4" t="str">
        <f t="shared" si="1"/>
        <v>Available</v>
      </c>
      <c r="Z7" s="4" t="str">
        <f t="shared" si="2"/>
        <v>Available</v>
      </c>
      <c r="AA7" s="4" t="str">
        <f t="shared" si="3"/>
        <v>Available</v>
      </c>
      <c r="AB7" s="4" t="str">
        <f t="shared" si="4"/>
        <v>Sneha Iyer</v>
      </c>
      <c r="AC7" s="4">
        <f t="shared" si="5"/>
        <v>10200</v>
      </c>
      <c r="AD7" s="4" t="str">
        <f t="shared" si="6"/>
        <v>Medium</v>
      </c>
      <c r="AE7" s="4" t="str">
        <f t="shared" si="7"/>
        <v>Senior</v>
      </c>
      <c r="AF7" s="4" t="str">
        <f t="shared" si="8"/>
        <v>Meets Expectations</v>
      </c>
      <c r="AG7" s="4"/>
    </row>
    <row r="8" spans="1:33">
      <c r="A8" s="1">
        <v>1007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60</v>
      </c>
      <c r="I8" s="1" t="s">
        <v>61</v>
      </c>
      <c r="J8" s="1" t="s">
        <v>62</v>
      </c>
      <c r="K8" s="1" t="s">
        <v>32</v>
      </c>
      <c r="L8" s="1">
        <v>2024</v>
      </c>
      <c r="M8" s="1">
        <v>2</v>
      </c>
      <c r="N8" s="1">
        <v>45000</v>
      </c>
      <c r="O8" s="1">
        <v>5</v>
      </c>
      <c r="P8" s="1">
        <v>2250</v>
      </c>
      <c r="Q8" s="1">
        <v>72</v>
      </c>
      <c r="R8" s="1" t="s">
        <v>63</v>
      </c>
      <c r="S8" s="1" t="s">
        <v>34</v>
      </c>
      <c r="T8" s="1" t="s">
        <v>46</v>
      </c>
      <c r="U8" s="1" t="s">
        <v>82</v>
      </c>
      <c r="V8" s="1">
        <v>1</v>
      </c>
      <c r="W8" s="1">
        <v>18</v>
      </c>
      <c r="X8" s="4" t="str">
        <f t="shared" si="0"/>
        <v>Available</v>
      </c>
      <c r="Y8" s="4" t="str">
        <f t="shared" si="1"/>
        <v>Available</v>
      </c>
      <c r="Z8" s="4" t="str">
        <f t="shared" si="2"/>
        <v>Available</v>
      </c>
      <c r="AA8" s="4" t="str">
        <f t="shared" si="3"/>
        <v>Available</v>
      </c>
      <c r="AB8" s="4" t="str">
        <f t="shared" si="4"/>
        <v>Kiran Reddy</v>
      </c>
      <c r="AC8" s="4">
        <f t="shared" si="5"/>
        <v>2250</v>
      </c>
      <c r="AD8" s="4" t="str">
        <f t="shared" si="6"/>
        <v>Low</v>
      </c>
      <c r="AE8" s="4" t="str">
        <f t="shared" si="7"/>
        <v>Junior</v>
      </c>
      <c r="AF8" s="4" t="str">
        <f t="shared" si="8"/>
        <v>Needs Improvement</v>
      </c>
      <c r="AG8" s="4"/>
    </row>
    <row r="9" spans="1:33">
      <c r="A9" s="1">
        <v>1008</v>
      </c>
      <c r="B9" s="1" t="s">
        <v>83</v>
      </c>
      <c r="C9" s="1" t="s">
        <v>84</v>
      </c>
      <c r="D9" s="1" t="s">
        <v>85</v>
      </c>
      <c r="E9" s="1"/>
      <c r="F9" s="1" t="s">
        <v>80</v>
      </c>
      <c r="G9" s="1" t="s">
        <v>86</v>
      </c>
      <c r="H9" s="1" t="s">
        <v>43</v>
      </c>
      <c r="I9" s="1" t="s">
        <v>44</v>
      </c>
      <c r="J9" s="1" t="s">
        <v>31</v>
      </c>
      <c r="K9" s="1" t="s">
        <v>32</v>
      </c>
      <c r="L9" s="1">
        <v>2019</v>
      </c>
      <c r="M9" s="1">
        <v>7</v>
      </c>
      <c r="N9" s="1">
        <v>78000</v>
      </c>
      <c r="O9" s="1">
        <v>12</v>
      </c>
      <c r="P9" s="1">
        <v>9360</v>
      </c>
      <c r="Q9" s="1">
        <v>86</v>
      </c>
      <c r="R9" s="1" t="s">
        <v>33</v>
      </c>
      <c r="S9" s="1" t="s">
        <v>34</v>
      </c>
      <c r="T9" s="1" t="s">
        <v>46</v>
      </c>
      <c r="U9" s="1" t="s">
        <v>82</v>
      </c>
      <c r="V9" s="1">
        <v>5</v>
      </c>
      <c r="W9" s="1">
        <v>7</v>
      </c>
      <c r="X9" s="4" t="str">
        <f t="shared" si="0"/>
        <v>Missing Email</v>
      </c>
      <c r="Y9" s="4" t="str">
        <f t="shared" si="1"/>
        <v>Available</v>
      </c>
      <c r="Z9" s="4" t="str">
        <f t="shared" si="2"/>
        <v>Available</v>
      </c>
      <c r="AA9" s="4" t="str">
        <f t="shared" si="3"/>
        <v>Available</v>
      </c>
      <c r="AB9" s="4" t="str">
        <f t="shared" si="4"/>
        <v>Anitha Joseph</v>
      </c>
      <c r="AC9" s="4">
        <f t="shared" si="5"/>
        <v>9360</v>
      </c>
      <c r="AD9" s="4" t="str">
        <f t="shared" si="6"/>
        <v>Medium</v>
      </c>
      <c r="AE9" s="4" t="str">
        <f t="shared" si="7"/>
        <v>Mid-Level</v>
      </c>
      <c r="AF9" s="4" t="str">
        <f t="shared" si="8"/>
        <v>Meets Expectations</v>
      </c>
      <c r="AG9" s="4"/>
    </row>
    <row r="10" spans="1:33">
      <c r="A10" s="1">
        <v>1009</v>
      </c>
      <c r="B10" s="1" t="s">
        <v>87</v>
      </c>
      <c r="C10" s="1" t="s">
        <v>24</v>
      </c>
      <c r="D10" s="1" t="s">
        <v>88</v>
      </c>
      <c r="E10" s="1" t="s">
        <v>89</v>
      </c>
      <c r="F10" s="1" t="s">
        <v>27</v>
      </c>
      <c r="G10" s="1" t="s">
        <v>90</v>
      </c>
      <c r="H10" s="1" t="s">
        <v>29</v>
      </c>
      <c r="I10" s="1" t="s">
        <v>30</v>
      </c>
      <c r="J10" s="1" t="s">
        <v>53</v>
      </c>
      <c r="K10" s="1" t="s">
        <v>32</v>
      </c>
      <c r="L10" s="1">
        <v>2018</v>
      </c>
      <c r="M10" s="1">
        <v>8</v>
      </c>
      <c r="N10" s="1">
        <v>88000</v>
      </c>
      <c r="O10" s="1">
        <v>15</v>
      </c>
      <c r="P10" s="1">
        <v>13200</v>
      </c>
      <c r="Q10" s="1">
        <v>94</v>
      </c>
      <c r="R10" s="1" t="s">
        <v>45</v>
      </c>
      <c r="S10" s="1" t="s">
        <v>34</v>
      </c>
      <c r="T10" s="1" t="s">
        <v>35</v>
      </c>
      <c r="U10" s="1" t="s">
        <v>36</v>
      </c>
      <c r="V10" s="1">
        <v>7</v>
      </c>
      <c r="W10" s="1">
        <v>6</v>
      </c>
      <c r="X10" s="4" t="str">
        <f t="shared" si="0"/>
        <v>Available</v>
      </c>
      <c r="Y10" s="4" t="str">
        <f t="shared" si="1"/>
        <v>Available</v>
      </c>
      <c r="Z10" s="4" t="str">
        <f t="shared" si="2"/>
        <v>Available</v>
      </c>
      <c r="AA10" s="4" t="str">
        <f t="shared" si="3"/>
        <v>Available</v>
      </c>
      <c r="AB10" s="4" t="str">
        <f t="shared" si="4"/>
        <v>Vijay Kumar</v>
      </c>
      <c r="AC10" s="4">
        <f t="shared" si="5"/>
        <v>13200</v>
      </c>
      <c r="AD10" s="4" t="str">
        <f t="shared" si="6"/>
        <v>Medium</v>
      </c>
      <c r="AE10" s="4" t="str">
        <f t="shared" si="7"/>
        <v>Senior</v>
      </c>
      <c r="AF10" s="4" t="str">
        <f t="shared" si="8"/>
        <v>Top Performer</v>
      </c>
      <c r="AG10" s="4"/>
    </row>
    <row r="11" spans="1:33">
      <c r="A11" s="1">
        <v>1010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41</v>
      </c>
      <c r="G11" s="1" t="s">
        <v>95</v>
      </c>
      <c r="H11" s="1" t="s">
        <v>96</v>
      </c>
      <c r="I11" s="1" t="s">
        <v>97</v>
      </c>
      <c r="J11" s="1" t="s">
        <v>31</v>
      </c>
      <c r="K11" s="1" t="s">
        <v>32</v>
      </c>
      <c r="L11" s="1">
        <v>2021</v>
      </c>
      <c r="M11" s="1">
        <v>5</v>
      </c>
      <c r="N11" s="1">
        <v>52000</v>
      </c>
      <c r="O11" s="1">
        <v>8</v>
      </c>
      <c r="P11" s="1">
        <v>4160</v>
      </c>
      <c r="Q11" s="1">
        <v>83</v>
      </c>
      <c r="R11" s="1" t="s">
        <v>33</v>
      </c>
      <c r="S11" s="1" t="s">
        <v>34</v>
      </c>
      <c r="T11" s="1" t="s">
        <v>46</v>
      </c>
      <c r="U11" s="1" t="s">
        <v>47</v>
      </c>
      <c r="V11" s="1">
        <v>4</v>
      </c>
      <c r="W11" s="1">
        <v>14</v>
      </c>
      <c r="X11" s="4" t="str">
        <f t="shared" si="0"/>
        <v>Available</v>
      </c>
      <c r="Y11" s="4" t="str">
        <f t="shared" si="1"/>
        <v>Available</v>
      </c>
      <c r="Z11" s="4" t="str">
        <f t="shared" si="2"/>
        <v>Available</v>
      </c>
      <c r="AA11" s="4" t="str">
        <f t="shared" si="3"/>
        <v>Available</v>
      </c>
      <c r="AB11" s="4" t="str">
        <f t="shared" si="4"/>
        <v>Divya Nair</v>
      </c>
      <c r="AC11" s="4">
        <f t="shared" si="5"/>
        <v>4160</v>
      </c>
      <c r="AD11" s="4" t="str">
        <f t="shared" si="6"/>
        <v>Low</v>
      </c>
      <c r="AE11" s="4" t="str">
        <f t="shared" si="7"/>
        <v>Mid-Level</v>
      </c>
      <c r="AF11" s="4" t="str">
        <f t="shared" si="8"/>
        <v>Meets Expectations</v>
      </c>
      <c r="AG11" s="4"/>
    </row>
    <row r="12" spans="1:33">
      <c r="A12" s="1">
        <v>1011</v>
      </c>
      <c r="B12" s="1" t="s">
        <v>98</v>
      </c>
      <c r="C12" s="1" t="s">
        <v>99</v>
      </c>
      <c r="D12" s="1" t="s">
        <v>100</v>
      </c>
      <c r="E12" s="1" t="s">
        <v>101</v>
      </c>
      <c r="F12" s="1" t="s">
        <v>27</v>
      </c>
      <c r="G12" s="1" t="s">
        <v>102</v>
      </c>
      <c r="H12" s="1" t="s">
        <v>103</v>
      </c>
      <c r="I12" s="1" t="s">
        <v>104</v>
      </c>
      <c r="J12" s="1" t="s">
        <v>31</v>
      </c>
      <c r="K12" s="1" t="s">
        <v>32</v>
      </c>
      <c r="L12" s="1">
        <v>2022</v>
      </c>
      <c r="M12" s="1">
        <v>4</v>
      </c>
      <c r="N12" s="1">
        <v>60000</v>
      </c>
      <c r="O12" s="1">
        <v>8</v>
      </c>
      <c r="P12" s="1">
        <v>4800</v>
      </c>
      <c r="Q12" s="1">
        <v>81</v>
      </c>
      <c r="R12" s="1" t="s">
        <v>33</v>
      </c>
      <c r="S12" s="1" t="s">
        <v>34</v>
      </c>
      <c r="T12" s="1" t="s">
        <v>35</v>
      </c>
      <c r="U12" s="1" t="s">
        <v>36</v>
      </c>
      <c r="V12" s="1">
        <v>3</v>
      </c>
      <c r="W12" s="1">
        <v>13</v>
      </c>
      <c r="X12" s="4" t="str">
        <f t="shared" si="0"/>
        <v>Available</v>
      </c>
      <c r="Y12" s="4" t="str">
        <f t="shared" si="1"/>
        <v>Available</v>
      </c>
      <c r="Z12" s="4" t="str">
        <f t="shared" si="2"/>
        <v>Available</v>
      </c>
      <c r="AA12" s="4" t="str">
        <f t="shared" si="3"/>
        <v>Available</v>
      </c>
      <c r="AB12" s="4" t="str">
        <f t="shared" si="4"/>
        <v>John Mathew</v>
      </c>
      <c r="AC12" s="4">
        <f t="shared" si="5"/>
        <v>4800</v>
      </c>
      <c r="AD12" s="4" t="str">
        <f t="shared" si="6"/>
        <v>Medium</v>
      </c>
      <c r="AE12" s="4" t="str">
        <f t="shared" si="7"/>
        <v>Junior</v>
      </c>
      <c r="AF12" s="4" t="str">
        <f t="shared" si="8"/>
        <v>Meets Expectations</v>
      </c>
      <c r="AG12" s="4"/>
    </row>
    <row r="13" spans="1:33">
      <c r="A13" s="1">
        <v>1012</v>
      </c>
      <c r="B13" s="1" t="s">
        <v>105</v>
      </c>
      <c r="C13" s="1" t="s">
        <v>106</v>
      </c>
      <c r="D13" s="1" t="s">
        <v>107</v>
      </c>
      <c r="E13" s="1" t="s">
        <v>108</v>
      </c>
      <c r="F13" s="1" t="s">
        <v>58</v>
      </c>
      <c r="G13" s="1" t="s">
        <v>109</v>
      </c>
      <c r="H13" s="1" t="s">
        <v>29</v>
      </c>
      <c r="I13" s="1" t="s">
        <v>30</v>
      </c>
      <c r="J13" s="1" t="s">
        <v>62</v>
      </c>
      <c r="K13" s="1" t="s">
        <v>32</v>
      </c>
      <c r="L13" s="1">
        <v>2019</v>
      </c>
      <c r="M13" s="1">
        <v>7</v>
      </c>
      <c r="N13" s="1">
        <v>72000</v>
      </c>
      <c r="O13" s="1">
        <v>12</v>
      </c>
      <c r="P13" s="1">
        <v>8640</v>
      </c>
      <c r="Q13" s="1">
        <v>90</v>
      </c>
      <c r="R13" s="1" t="s">
        <v>45</v>
      </c>
      <c r="S13" s="1" t="s">
        <v>34</v>
      </c>
      <c r="T13" s="1" t="s">
        <v>64</v>
      </c>
      <c r="U13" s="1" t="s">
        <v>65</v>
      </c>
      <c r="V13" s="1">
        <v>6</v>
      </c>
      <c r="W13" s="1">
        <v>9</v>
      </c>
      <c r="X13" s="4" t="str">
        <f t="shared" si="0"/>
        <v>Available</v>
      </c>
      <c r="Y13" s="4" t="str">
        <f t="shared" si="1"/>
        <v>Available</v>
      </c>
      <c r="Z13" s="4" t="str">
        <f t="shared" si="2"/>
        <v>Available</v>
      </c>
      <c r="AA13" s="4" t="str">
        <f t="shared" si="3"/>
        <v>Available</v>
      </c>
      <c r="AB13" s="4" t="str">
        <f t="shared" si="4"/>
        <v>Lakshmi Devi</v>
      </c>
      <c r="AC13" s="4">
        <f t="shared" si="5"/>
        <v>8640</v>
      </c>
      <c r="AD13" s="4" t="str">
        <f t="shared" si="6"/>
        <v>Medium</v>
      </c>
      <c r="AE13" s="4" t="str">
        <f t="shared" si="7"/>
        <v>Mid-Level</v>
      </c>
      <c r="AF13" s="4" t="str">
        <f t="shared" si="8"/>
        <v>Top Performer</v>
      </c>
      <c r="AG13" s="4"/>
    </row>
    <row r="14" spans="1:33">
      <c r="A14" s="1">
        <v>1013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115</v>
      </c>
      <c r="H14" s="1" t="s">
        <v>60</v>
      </c>
      <c r="I14" s="1" t="s">
        <v>61</v>
      </c>
      <c r="J14" s="1" t="s">
        <v>62</v>
      </c>
      <c r="K14" s="1" t="s">
        <v>32</v>
      </c>
      <c r="L14" s="1">
        <v>2016</v>
      </c>
      <c r="M14" s="1">
        <v>10</v>
      </c>
      <c r="N14" s="1">
        <v>82000</v>
      </c>
      <c r="O14" s="1">
        <v>12</v>
      </c>
      <c r="P14" s="1">
        <v>9840</v>
      </c>
      <c r="Q14" s="1">
        <v>87</v>
      </c>
      <c r="R14" s="1" t="s">
        <v>33</v>
      </c>
      <c r="S14" s="1" t="s">
        <v>34</v>
      </c>
      <c r="T14" s="1" t="s">
        <v>46</v>
      </c>
      <c r="U14" s="1" t="s">
        <v>116</v>
      </c>
      <c r="V14" s="1">
        <v>7</v>
      </c>
      <c r="W14" s="1">
        <v>8</v>
      </c>
      <c r="X14" s="4" t="str">
        <f t="shared" si="0"/>
        <v>Available</v>
      </c>
      <c r="Y14" s="4" t="str">
        <f t="shared" si="1"/>
        <v>Available</v>
      </c>
      <c r="Z14" s="4" t="str">
        <f t="shared" si="2"/>
        <v>Available</v>
      </c>
      <c r="AA14" s="4" t="str">
        <f t="shared" si="3"/>
        <v>Available</v>
      </c>
      <c r="AB14" s="4" t="str">
        <f t="shared" si="4"/>
        <v>Suresh Babu</v>
      </c>
      <c r="AC14" s="4">
        <f t="shared" si="5"/>
        <v>9840</v>
      </c>
      <c r="AD14" s="4" t="str">
        <f t="shared" si="6"/>
        <v>Medium</v>
      </c>
      <c r="AE14" s="4" t="str">
        <f t="shared" si="7"/>
        <v>Senior</v>
      </c>
      <c r="AF14" s="4" t="str">
        <f t="shared" si="8"/>
        <v>Meets Expectations</v>
      </c>
      <c r="AG14" s="4"/>
    </row>
    <row r="15" spans="1:33">
      <c r="A15" s="1">
        <v>1014</v>
      </c>
      <c r="B15" s="1" t="s">
        <v>117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29</v>
      </c>
      <c r="I15" s="1" t="s">
        <v>30</v>
      </c>
      <c r="J15" s="1" t="s">
        <v>31</v>
      </c>
      <c r="K15" s="1" t="s">
        <v>32</v>
      </c>
      <c r="L15" s="1">
        <v>2022</v>
      </c>
      <c r="M15" s="1">
        <v>4</v>
      </c>
      <c r="N15" s="1">
        <v>55000</v>
      </c>
      <c r="O15" s="1">
        <v>8</v>
      </c>
      <c r="P15" s="1">
        <v>4400</v>
      </c>
      <c r="Q15" s="1">
        <v>79</v>
      </c>
      <c r="R15" s="1" t="s">
        <v>63</v>
      </c>
      <c r="S15" s="1" t="s">
        <v>34</v>
      </c>
      <c r="T15" s="1" t="s">
        <v>46</v>
      </c>
      <c r="U15" s="1" t="s">
        <v>123</v>
      </c>
      <c r="V15" s="1">
        <v>3</v>
      </c>
      <c r="W15" s="1">
        <v>16</v>
      </c>
      <c r="X15" s="4" t="str">
        <f t="shared" si="0"/>
        <v>Available</v>
      </c>
      <c r="Y15" s="4" t="str">
        <f t="shared" si="1"/>
        <v>Available</v>
      </c>
      <c r="Z15" s="4" t="str">
        <f t="shared" si="2"/>
        <v>Available</v>
      </c>
      <c r="AA15" s="4" t="str">
        <f t="shared" si="3"/>
        <v>Available</v>
      </c>
      <c r="AB15" s="4" t="str">
        <f t="shared" si="4"/>
        <v>Nandhini Raj</v>
      </c>
      <c r="AC15" s="4">
        <f t="shared" si="5"/>
        <v>4400</v>
      </c>
      <c r="AD15" s="4" t="str">
        <f t="shared" si="6"/>
        <v>Low</v>
      </c>
      <c r="AE15" s="4" t="str">
        <f t="shared" si="7"/>
        <v>Junior</v>
      </c>
      <c r="AF15" s="4" t="str">
        <f t="shared" si="8"/>
        <v>Meets Expectations</v>
      </c>
      <c r="AG15" s="4"/>
    </row>
    <row r="16" spans="1:33">
      <c r="A16" s="1">
        <v>1015</v>
      </c>
      <c r="B16" s="1" t="s">
        <v>55</v>
      </c>
      <c r="C16" s="1" t="s">
        <v>124</v>
      </c>
      <c r="D16" s="1" t="s">
        <v>125</v>
      </c>
      <c r="E16" s="1" t="s">
        <v>126</v>
      </c>
      <c r="F16" s="1" t="s">
        <v>27</v>
      </c>
      <c r="G16" s="1" t="s">
        <v>127</v>
      </c>
      <c r="H16" s="1" t="s">
        <v>103</v>
      </c>
      <c r="I16" s="1" t="s">
        <v>104</v>
      </c>
      <c r="J16" s="1" t="s">
        <v>53</v>
      </c>
      <c r="K16" s="1" t="s">
        <v>32</v>
      </c>
      <c r="L16" s="1">
        <v>2020</v>
      </c>
      <c r="M16" s="1">
        <v>6</v>
      </c>
      <c r="N16" s="1">
        <v>70000</v>
      </c>
      <c r="O16" s="1">
        <v>15</v>
      </c>
      <c r="P16" s="1">
        <v>10500</v>
      </c>
      <c r="Q16" s="1">
        <v>93</v>
      </c>
      <c r="R16" s="1" t="s">
        <v>45</v>
      </c>
      <c r="S16" s="1" t="s">
        <v>34</v>
      </c>
      <c r="T16" s="1" t="s">
        <v>35</v>
      </c>
      <c r="U16" s="1" t="s">
        <v>36</v>
      </c>
      <c r="V16" s="1">
        <v>5</v>
      </c>
      <c r="W16" s="1">
        <v>10</v>
      </c>
      <c r="X16" s="4" t="str">
        <f t="shared" si="0"/>
        <v>Available</v>
      </c>
      <c r="Y16" s="4" t="str">
        <f t="shared" si="1"/>
        <v>Available</v>
      </c>
      <c r="Z16" s="4" t="str">
        <f t="shared" si="2"/>
        <v>Available</v>
      </c>
      <c r="AA16" s="4" t="str">
        <f t="shared" si="3"/>
        <v>Available</v>
      </c>
      <c r="AB16" s="4" t="str">
        <f t="shared" si="4"/>
        <v>Ravi Prakash</v>
      </c>
      <c r="AC16" s="4">
        <f t="shared" si="5"/>
        <v>10500</v>
      </c>
      <c r="AD16" s="4" t="str">
        <f t="shared" si="6"/>
        <v>Medium</v>
      </c>
      <c r="AE16" s="4" t="str">
        <f t="shared" si="7"/>
        <v>Mid-Level</v>
      </c>
      <c r="AF16" s="4" t="str">
        <f t="shared" si="8"/>
        <v>Top Performer</v>
      </c>
      <c r="AG16" s="4"/>
    </row>
    <row r="17" spans="1:33">
      <c r="A17" s="1">
        <v>1016</v>
      </c>
      <c r="B17" s="1" t="s">
        <v>128</v>
      </c>
      <c r="C17" s="1" t="s">
        <v>129</v>
      </c>
      <c r="D17" s="1" t="s">
        <v>130</v>
      </c>
      <c r="E17" s="1" t="s">
        <v>131</v>
      </c>
      <c r="F17" s="1" t="s">
        <v>41</v>
      </c>
      <c r="G17" s="1" t="s">
        <v>132</v>
      </c>
      <c r="H17" s="1" t="s">
        <v>96</v>
      </c>
      <c r="I17" s="1" t="s">
        <v>97</v>
      </c>
      <c r="J17" s="1" t="s">
        <v>62</v>
      </c>
      <c r="K17" s="1" t="s">
        <v>32</v>
      </c>
      <c r="L17" s="1">
        <v>2023</v>
      </c>
      <c r="M17" s="1">
        <v>3</v>
      </c>
      <c r="N17" s="1">
        <v>48000</v>
      </c>
      <c r="O17" s="1">
        <v>8</v>
      </c>
      <c r="P17" s="1">
        <v>3840</v>
      </c>
      <c r="Q17" s="1">
        <v>76</v>
      </c>
      <c r="R17" s="1" t="s">
        <v>63</v>
      </c>
      <c r="S17" s="1" t="s">
        <v>34</v>
      </c>
      <c r="T17" s="1" t="s">
        <v>46</v>
      </c>
      <c r="U17" s="1" t="s">
        <v>47</v>
      </c>
      <c r="V17" s="1">
        <v>2</v>
      </c>
      <c r="W17" s="1">
        <v>19</v>
      </c>
      <c r="X17" s="4" t="str">
        <f t="shared" si="0"/>
        <v>Available</v>
      </c>
      <c r="Y17" s="4" t="str">
        <f t="shared" si="1"/>
        <v>Available</v>
      </c>
      <c r="Z17" s="4" t="str">
        <f t="shared" si="2"/>
        <v>Available</v>
      </c>
      <c r="AA17" s="4" t="str">
        <f t="shared" si="3"/>
        <v>Available</v>
      </c>
      <c r="AB17" s="4" t="str">
        <f t="shared" si="4"/>
        <v>Asha Menon</v>
      </c>
      <c r="AC17" s="4">
        <f t="shared" si="5"/>
        <v>3840</v>
      </c>
      <c r="AD17" s="4" t="str">
        <f t="shared" si="6"/>
        <v>Low</v>
      </c>
      <c r="AE17" s="4" t="str">
        <f t="shared" si="7"/>
        <v>Junior</v>
      </c>
      <c r="AF17" s="4" t="str">
        <f t="shared" si="8"/>
        <v>Meets Expectations</v>
      </c>
      <c r="AG17" s="4"/>
    </row>
    <row r="18" spans="1:33">
      <c r="A18" s="1">
        <v>1017</v>
      </c>
      <c r="B18" s="1" t="s">
        <v>133</v>
      </c>
      <c r="C18" s="1" t="s">
        <v>134</v>
      </c>
      <c r="D18" s="1" t="s">
        <v>135</v>
      </c>
      <c r="E18" s="1" t="s">
        <v>136</v>
      </c>
      <c r="F18" s="1" t="s">
        <v>80</v>
      </c>
      <c r="G18" s="1" t="s">
        <v>137</v>
      </c>
      <c r="H18" s="1" t="s">
        <v>138</v>
      </c>
      <c r="I18" s="1" t="s">
        <v>138</v>
      </c>
      <c r="J18" s="1" t="s">
        <v>31</v>
      </c>
      <c r="K18" s="1" t="s">
        <v>32</v>
      </c>
      <c r="L18" s="1">
        <v>2021</v>
      </c>
      <c r="M18" s="1">
        <v>5</v>
      </c>
      <c r="N18" s="1">
        <v>58000</v>
      </c>
      <c r="O18" s="1">
        <v>8</v>
      </c>
      <c r="P18" s="1">
        <v>4640</v>
      </c>
      <c r="Q18" s="1">
        <v>84</v>
      </c>
      <c r="R18" s="1" t="s">
        <v>33</v>
      </c>
      <c r="S18" s="1" t="s">
        <v>34</v>
      </c>
      <c r="T18" s="1" t="s">
        <v>46</v>
      </c>
      <c r="U18" s="1"/>
      <c r="V18" s="1">
        <v>4</v>
      </c>
      <c r="W18" s="1">
        <v>12</v>
      </c>
      <c r="X18" s="4" t="str">
        <f t="shared" si="0"/>
        <v>Available</v>
      </c>
      <c r="Y18" s="4" t="str">
        <f t="shared" si="1"/>
        <v>Missing Skills</v>
      </c>
      <c r="Z18" s="4" t="str">
        <f t="shared" si="2"/>
        <v>Available</v>
      </c>
      <c r="AA18" s="4" t="str">
        <f t="shared" si="3"/>
        <v>Available</v>
      </c>
      <c r="AB18" s="4" t="str">
        <f t="shared" si="4"/>
        <v>Manoj Singh</v>
      </c>
      <c r="AC18" s="4">
        <f t="shared" si="5"/>
        <v>4640</v>
      </c>
      <c r="AD18" s="4" t="str">
        <f t="shared" si="6"/>
        <v>Low</v>
      </c>
      <c r="AE18" s="4" t="str">
        <f t="shared" si="7"/>
        <v>Mid-Level</v>
      </c>
      <c r="AF18" s="4" t="str">
        <f t="shared" si="8"/>
        <v>Meets Expectations</v>
      </c>
      <c r="AG18" s="4"/>
    </row>
    <row r="19" spans="1:33">
      <c r="A19" s="1">
        <v>1018</v>
      </c>
      <c r="B19" s="1" t="s">
        <v>139</v>
      </c>
      <c r="C19" s="1" t="s">
        <v>140</v>
      </c>
      <c r="D19" s="1" t="s">
        <v>141</v>
      </c>
      <c r="E19" s="1" t="s">
        <v>142</v>
      </c>
      <c r="F19" s="1" t="s">
        <v>27</v>
      </c>
      <c r="G19" s="1" t="s">
        <v>143</v>
      </c>
      <c r="H19" s="1" t="s">
        <v>43</v>
      </c>
      <c r="I19" s="1" t="s">
        <v>44</v>
      </c>
      <c r="J19" s="1" t="s">
        <v>31</v>
      </c>
      <c r="K19" s="1" t="s">
        <v>32</v>
      </c>
      <c r="L19" s="1">
        <v>2019</v>
      </c>
      <c r="M19" s="1">
        <v>7</v>
      </c>
      <c r="N19" s="1">
        <v>76000</v>
      </c>
      <c r="O19" s="1">
        <v>12</v>
      </c>
      <c r="P19" s="1">
        <v>9120</v>
      </c>
      <c r="Q19" s="1">
        <v>89</v>
      </c>
      <c r="R19" s="1" t="s">
        <v>33</v>
      </c>
      <c r="S19" s="1" t="s">
        <v>34</v>
      </c>
      <c r="T19" s="1" t="s">
        <v>35</v>
      </c>
      <c r="U19" s="1" t="s">
        <v>36</v>
      </c>
      <c r="V19" s="1">
        <v>6</v>
      </c>
      <c r="W19" s="1">
        <v>11</v>
      </c>
      <c r="X19" s="4" t="str">
        <f t="shared" si="0"/>
        <v>Available</v>
      </c>
      <c r="Y19" s="4" t="str">
        <f t="shared" si="1"/>
        <v>Available</v>
      </c>
      <c r="Z19" s="4" t="str">
        <f t="shared" si="2"/>
        <v>Available</v>
      </c>
      <c r="AA19" s="4" t="str">
        <f t="shared" si="3"/>
        <v>Available</v>
      </c>
      <c r="AB19" s="4" t="str">
        <f t="shared" si="4"/>
        <v>Deepa Krishnan</v>
      </c>
      <c r="AC19" s="4">
        <f t="shared" si="5"/>
        <v>9120</v>
      </c>
      <c r="AD19" s="4" t="str">
        <f t="shared" si="6"/>
        <v>Medium</v>
      </c>
      <c r="AE19" s="4" t="str">
        <f t="shared" si="7"/>
        <v>Mid-Level</v>
      </c>
      <c r="AF19" s="4" t="str">
        <f t="shared" si="8"/>
        <v>Meets Expectations</v>
      </c>
      <c r="AG19" s="4"/>
    </row>
    <row r="20" spans="1:33">
      <c r="A20" s="1">
        <v>1019</v>
      </c>
      <c r="B20" s="1" t="s">
        <v>144</v>
      </c>
      <c r="C20" s="1" t="s">
        <v>118</v>
      </c>
      <c r="D20" s="1" t="s">
        <v>145</v>
      </c>
      <c r="E20" s="1" t="s">
        <v>146</v>
      </c>
      <c r="F20" s="1" t="s">
        <v>114</v>
      </c>
      <c r="G20" s="1" t="s">
        <v>147</v>
      </c>
      <c r="H20" s="1" t="s">
        <v>148</v>
      </c>
      <c r="I20" s="1" t="s">
        <v>30</v>
      </c>
      <c r="J20" s="1" t="s">
        <v>62</v>
      </c>
      <c r="K20" s="1" t="s">
        <v>32</v>
      </c>
      <c r="L20" s="1">
        <v>2023</v>
      </c>
      <c r="M20" s="1">
        <v>3</v>
      </c>
      <c r="N20" s="1">
        <v>47000</v>
      </c>
      <c r="O20" s="1">
        <v>5</v>
      </c>
      <c r="P20" s="1">
        <v>2350</v>
      </c>
      <c r="Q20" s="1">
        <v>73</v>
      </c>
      <c r="R20" s="1" t="s">
        <v>63</v>
      </c>
      <c r="S20" s="1" t="s">
        <v>34</v>
      </c>
      <c r="T20" s="1" t="s">
        <v>46</v>
      </c>
      <c r="U20" s="1" t="s">
        <v>116</v>
      </c>
      <c r="V20" s="1">
        <v>2</v>
      </c>
      <c r="W20" s="1">
        <v>17</v>
      </c>
      <c r="X20" s="4" t="str">
        <f t="shared" si="0"/>
        <v>Available</v>
      </c>
      <c r="Y20" s="4" t="str">
        <f t="shared" si="1"/>
        <v>Available</v>
      </c>
      <c r="Z20" s="4" t="str">
        <f t="shared" si="2"/>
        <v>Available</v>
      </c>
      <c r="AA20" s="4" t="str">
        <f t="shared" si="3"/>
        <v>Available</v>
      </c>
      <c r="AB20" s="4" t="str">
        <f t="shared" si="4"/>
        <v>Gokul Raj</v>
      </c>
      <c r="AC20" s="4">
        <f t="shared" si="5"/>
        <v>2350</v>
      </c>
      <c r="AD20" s="4" t="str">
        <f t="shared" si="6"/>
        <v>Low</v>
      </c>
      <c r="AE20" s="4" t="str">
        <f t="shared" si="7"/>
        <v>Junior</v>
      </c>
      <c r="AF20" s="4" t="str">
        <f t="shared" si="8"/>
        <v>Needs Improvement</v>
      </c>
      <c r="AG20" s="4"/>
    </row>
    <row r="21" spans="1:33">
      <c r="A21" s="1">
        <v>1020</v>
      </c>
      <c r="B21" s="1" t="s">
        <v>149</v>
      </c>
      <c r="C21" s="1" t="s">
        <v>150</v>
      </c>
      <c r="D21" s="1" t="s">
        <v>151</v>
      </c>
      <c r="E21" s="1" t="s">
        <v>152</v>
      </c>
      <c r="F21" s="1" t="s">
        <v>121</v>
      </c>
      <c r="G21" s="1" t="s">
        <v>153</v>
      </c>
      <c r="H21" s="1" t="s">
        <v>60</v>
      </c>
      <c r="I21" s="1" t="s">
        <v>61</v>
      </c>
      <c r="J21" s="1" t="s">
        <v>53</v>
      </c>
      <c r="K21" s="1" t="s">
        <v>32</v>
      </c>
      <c r="L21" s="1">
        <v>2020</v>
      </c>
      <c r="M21" s="1">
        <v>6</v>
      </c>
      <c r="N21" s="1">
        <v>68000</v>
      </c>
      <c r="O21" s="1">
        <v>12</v>
      </c>
      <c r="P21" s="1">
        <v>8160</v>
      </c>
      <c r="Q21" s="1">
        <v>91</v>
      </c>
      <c r="R21" s="1" t="s">
        <v>45</v>
      </c>
      <c r="S21" s="1" t="s">
        <v>34</v>
      </c>
      <c r="T21" s="1" t="s">
        <v>46</v>
      </c>
      <c r="U21" s="1" t="s">
        <v>123</v>
      </c>
      <c r="V21" s="1">
        <v>5</v>
      </c>
      <c r="W21" s="1">
        <v>7</v>
      </c>
      <c r="X21" s="4" t="str">
        <f t="shared" si="0"/>
        <v>Available</v>
      </c>
      <c r="Y21" s="4" t="str">
        <f t="shared" si="1"/>
        <v>Available</v>
      </c>
      <c r="Z21" s="4" t="str">
        <f t="shared" si="2"/>
        <v>Available</v>
      </c>
      <c r="AA21" s="4" t="str">
        <f t="shared" si="3"/>
        <v>Available</v>
      </c>
      <c r="AB21" s="4" t="str">
        <f t="shared" si="4"/>
        <v>Swathi Rao</v>
      </c>
      <c r="AC21" s="4">
        <f t="shared" si="5"/>
        <v>8160</v>
      </c>
      <c r="AD21" s="4" t="str">
        <f t="shared" si="6"/>
        <v>Medium</v>
      </c>
      <c r="AE21" s="4" t="str">
        <f t="shared" si="7"/>
        <v>Mid-Level</v>
      </c>
      <c r="AF21" s="4" t="str">
        <f t="shared" si="8"/>
        <v>Top Performer</v>
      </c>
      <c r="AG21" s="4"/>
    </row>
    <row r="22" spans="1:33">
      <c r="A22" s="1">
        <v>1021</v>
      </c>
      <c r="B22" s="1" t="s">
        <v>154</v>
      </c>
      <c r="C22" s="1" t="s">
        <v>155</v>
      </c>
      <c r="D22" s="1" t="s">
        <v>156</v>
      </c>
      <c r="E22" s="1" t="s">
        <v>157</v>
      </c>
      <c r="F22" s="1" t="s">
        <v>27</v>
      </c>
      <c r="G22" s="1" t="s">
        <v>158</v>
      </c>
      <c r="H22" s="1" t="s">
        <v>29</v>
      </c>
      <c r="I22" s="1" t="s">
        <v>30</v>
      </c>
      <c r="J22" s="1" t="s">
        <v>31</v>
      </c>
      <c r="K22" s="1" t="s">
        <v>32</v>
      </c>
      <c r="L22" s="1">
        <v>2018</v>
      </c>
      <c r="M22" s="1">
        <v>8</v>
      </c>
      <c r="N22" s="1">
        <v>92000</v>
      </c>
      <c r="O22" s="1">
        <v>15</v>
      </c>
      <c r="P22" s="1">
        <v>13800</v>
      </c>
      <c r="Q22" s="1">
        <v>96</v>
      </c>
      <c r="R22" s="1" t="s">
        <v>45</v>
      </c>
      <c r="S22" s="1" t="s">
        <v>34</v>
      </c>
      <c r="T22" s="1" t="s">
        <v>35</v>
      </c>
      <c r="U22" s="1" t="s">
        <v>36</v>
      </c>
      <c r="V22" s="1">
        <v>8</v>
      </c>
      <c r="W22" s="1">
        <v>8</v>
      </c>
      <c r="X22" s="4" t="str">
        <f t="shared" si="0"/>
        <v>Available</v>
      </c>
      <c r="Y22" s="4" t="str">
        <f t="shared" si="1"/>
        <v>Available</v>
      </c>
      <c r="Z22" s="4" t="str">
        <f t="shared" si="2"/>
        <v>Available</v>
      </c>
      <c r="AA22" s="4" t="str">
        <f t="shared" si="3"/>
        <v>Available</v>
      </c>
      <c r="AB22" s="4" t="str">
        <f t="shared" si="4"/>
        <v>Karthik Mohan</v>
      </c>
      <c r="AC22" s="4">
        <f t="shared" si="5"/>
        <v>13800</v>
      </c>
      <c r="AD22" s="4" t="str">
        <f t="shared" si="6"/>
        <v>High</v>
      </c>
      <c r="AE22" s="4" t="str">
        <f t="shared" si="7"/>
        <v>Senior</v>
      </c>
      <c r="AF22" s="4" t="str">
        <f t="shared" si="8"/>
        <v>Top Performer</v>
      </c>
      <c r="AG22" s="4"/>
    </row>
    <row r="23" spans="1:33">
      <c r="A23" s="1">
        <v>1022</v>
      </c>
      <c r="B23" s="1" t="s">
        <v>159</v>
      </c>
      <c r="C23" s="1" t="s">
        <v>160</v>
      </c>
      <c r="D23" s="1" t="s">
        <v>161</v>
      </c>
      <c r="E23" s="1" t="s">
        <v>162</v>
      </c>
      <c r="F23" s="1" t="s">
        <v>58</v>
      </c>
      <c r="G23" s="1" t="s">
        <v>163</v>
      </c>
      <c r="H23" s="1" t="s">
        <v>138</v>
      </c>
      <c r="I23" s="1" t="s">
        <v>138</v>
      </c>
      <c r="J23" s="1" t="s">
        <v>62</v>
      </c>
      <c r="K23" s="1" t="s">
        <v>32</v>
      </c>
      <c r="L23" s="1">
        <v>2021</v>
      </c>
      <c r="M23" s="1">
        <v>5</v>
      </c>
      <c r="N23" s="1">
        <v>57000</v>
      </c>
      <c r="O23" s="1">
        <v>8</v>
      </c>
      <c r="P23" s="1">
        <v>4560</v>
      </c>
      <c r="Q23" s="1">
        <v>82</v>
      </c>
      <c r="R23" s="1" t="s">
        <v>33</v>
      </c>
      <c r="S23" s="1" t="s">
        <v>34</v>
      </c>
      <c r="T23" s="1" t="s">
        <v>64</v>
      </c>
      <c r="U23" s="1" t="s">
        <v>65</v>
      </c>
      <c r="V23" s="1">
        <v>3</v>
      </c>
      <c r="W23" s="1">
        <v>13</v>
      </c>
      <c r="X23" s="4" t="str">
        <f t="shared" si="0"/>
        <v>Available</v>
      </c>
      <c r="Y23" s="4" t="str">
        <f t="shared" si="1"/>
        <v>Available</v>
      </c>
      <c r="Z23" s="4" t="str">
        <f t="shared" si="2"/>
        <v>Available</v>
      </c>
      <c r="AA23" s="4" t="str">
        <f t="shared" si="3"/>
        <v>Available</v>
      </c>
      <c r="AB23" s="4" t="str">
        <f t="shared" si="4"/>
        <v>Neha Gupta</v>
      </c>
      <c r="AC23" s="4">
        <f t="shared" si="5"/>
        <v>4560</v>
      </c>
      <c r="AD23" s="4" t="str">
        <f t="shared" si="6"/>
        <v>Low</v>
      </c>
      <c r="AE23" s="4" t="str">
        <f t="shared" si="7"/>
        <v>Mid-Level</v>
      </c>
      <c r="AF23" s="4" t="str">
        <f t="shared" si="8"/>
        <v>Meets Expectations</v>
      </c>
      <c r="AG23" s="4"/>
    </row>
    <row r="24" spans="1:33">
      <c r="A24" s="1">
        <v>1023</v>
      </c>
      <c r="B24" s="1" t="s">
        <v>164</v>
      </c>
      <c r="C24" s="1" t="s">
        <v>129</v>
      </c>
      <c r="D24" s="1" t="s">
        <v>165</v>
      </c>
      <c r="E24" s="1" t="s">
        <v>166</v>
      </c>
      <c r="F24" s="1" t="s">
        <v>27</v>
      </c>
      <c r="G24" s="1" t="s">
        <v>167</v>
      </c>
      <c r="H24" s="1" t="s">
        <v>96</v>
      </c>
      <c r="I24" s="1" t="s">
        <v>97</v>
      </c>
      <c r="J24" s="1" t="s">
        <v>31</v>
      </c>
      <c r="K24" s="1" t="s">
        <v>32</v>
      </c>
      <c r="L24" s="1">
        <v>2017</v>
      </c>
      <c r="M24" s="1">
        <v>9</v>
      </c>
      <c r="N24" s="1">
        <v>84000</v>
      </c>
      <c r="O24" s="1">
        <v>12</v>
      </c>
      <c r="P24" s="1">
        <v>10080</v>
      </c>
      <c r="Q24" s="1">
        <v>88</v>
      </c>
      <c r="R24" s="1" t="s">
        <v>33</v>
      </c>
      <c r="S24" s="1" t="s">
        <v>34</v>
      </c>
      <c r="T24" s="1" t="s">
        <v>35</v>
      </c>
      <c r="U24" s="1" t="s">
        <v>36</v>
      </c>
      <c r="V24" s="1">
        <v>6</v>
      </c>
      <c r="W24" s="1">
        <v>9</v>
      </c>
      <c r="X24" s="4" t="str">
        <f t="shared" si="0"/>
        <v>Available</v>
      </c>
      <c r="Y24" s="4" t="str">
        <f t="shared" si="1"/>
        <v>Available</v>
      </c>
      <c r="Z24" s="4" t="str">
        <f t="shared" si="2"/>
        <v>Available</v>
      </c>
      <c r="AA24" s="4" t="str">
        <f t="shared" si="3"/>
        <v>Available</v>
      </c>
      <c r="AB24" s="4" t="str">
        <f t="shared" si="4"/>
        <v>Vishnu Menon</v>
      </c>
      <c r="AC24" s="4">
        <f t="shared" si="5"/>
        <v>10080</v>
      </c>
      <c r="AD24" s="4" t="str">
        <f t="shared" si="6"/>
        <v>Medium</v>
      </c>
      <c r="AE24" s="4" t="str">
        <f t="shared" si="7"/>
        <v>Senior</v>
      </c>
      <c r="AF24" s="4" t="str">
        <f t="shared" si="8"/>
        <v>Meets Expectations</v>
      </c>
      <c r="AG24" s="4"/>
    </row>
    <row r="25" spans="1:33">
      <c r="A25" s="1">
        <v>1024</v>
      </c>
      <c r="B25" s="1" t="s">
        <v>168</v>
      </c>
      <c r="C25" s="1" t="s">
        <v>169</v>
      </c>
      <c r="D25" s="1" t="s">
        <v>170</v>
      </c>
      <c r="E25" s="1" t="s">
        <v>171</v>
      </c>
      <c r="F25" s="1" t="s">
        <v>80</v>
      </c>
      <c r="G25" s="1" t="s">
        <v>81</v>
      </c>
      <c r="H25" s="1" t="s">
        <v>172</v>
      </c>
      <c r="I25" s="1" t="s">
        <v>173</v>
      </c>
      <c r="J25" s="1" t="s">
        <v>62</v>
      </c>
      <c r="K25" s="1" t="s">
        <v>32</v>
      </c>
      <c r="L25" s="1">
        <v>2023</v>
      </c>
      <c r="M25" s="1">
        <v>3</v>
      </c>
      <c r="N25" s="1">
        <v>46000</v>
      </c>
      <c r="O25" s="1">
        <v>5</v>
      </c>
      <c r="P25" s="1">
        <v>2300</v>
      </c>
      <c r="Q25" s="1">
        <v>71</v>
      </c>
      <c r="R25" s="1" t="s">
        <v>63</v>
      </c>
      <c r="S25" s="1" t="s">
        <v>34</v>
      </c>
      <c r="T25" s="1" t="s">
        <v>46</v>
      </c>
      <c r="U25" s="1" t="s">
        <v>82</v>
      </c>
      <c r="V25" s="1">
        <v>2</v>
      </c>
      <c r="W25" s="1">
        <v>16</v>
      </c>
      <c r="X25" s="4" t="str">
        <f t="shared" si="0"/>
        <v>Available</v>
      </c>
      <c r="Y25" s="4" t="str">
        <f t="shared" si="1"/>
        <v>Available</v>
      </c>
      <c r="Z25" s="4" t="str">
        <f t="shared" si="2"/>
        <v>Available</v>
      </c>
      <c r="AA25" s="4" t="str">
        <f t="shared" si="3"/>
        <v>Available</v>
      </c>
      <c r="AB25" s="4" t="str">
        <f t="shared" si="4"/>
        <v>Pooja Patel</v>
      </c>
      <c r="AC25" s="4">
        <f t="shared" si="5"/>
        <v>2300</v>
      </c>
      <c r="AD25" s="4" t="str">
        <f t="shared" si="6"/>
        <v>Low</v>
      </c>
      <c r="AE25" s="4" t="str">
        <f t="shared" si="7"/>
        <v>Junior</v>
      </c>
      <c r="AF25" s="4" t="str">
        <f t="shared" si="8"/>
        <v>Needs Improvement</v>
      </c>
      <c r="AG25" s="4"/>
    </row>
    <row r="26" spans="1:33">
      <c r="A26" s="1">
        <v>1025</v>
      </c>
      <c r="B26" s="1" t="s">
        <v>174</v>
      </c>
      <c r="C26" s="1" t="s">
        <v>24</v>
      </c>
      <c r="D26" s="1" t="s">
        <v>175</v>
      </c>
      <c r="E26" s="1" t="s">
        <v>176</v>
      </c>
      <c r="F26" s="1" t="s">
        <v>114</v>
      </c>
      <c r="G26" s="1" t="s">
        <v>177</v>
      </c>
      <c r="H26" s="1" t="s">
        <v>103</v>
      </c>
      <c r="I26" s="1" t="s">
        <v>104</v>
      </c>
      <c r="J26" s="1" t="s">
        <v>31</v>
      </c>
      <c r="K26" s="1" t="s">
        <v>32</v>
      </c>
      <c r="L26" s="1">
        <v>2020</v>
      </c>
      <c r="M26" s="1">
        <v>6</v>
      </c>
      <c r="N26" s="1">
        <v>67000</v>
      </c>
      <c r="O26" s="1">
        <v>12</v>
      </c>
      <c r="P26" s="1">
        <v>8040</v>
      </c>
      <c r="Q26" s="1">
        <v>85</v>
      </c>
      <c r="R26" s="1" t="s">
        <v>33</v>
      </c>
      <c r="S26" s="1" t="s">
        <v>34</v>
      </c>
      <c r="T26" s="1"/>
      <c r="U26" s="1" t="s">
        <v>116</v>
      </c>
      <c r="V26" s="1">
        <v>5</v>
      </c>
      <c r="W26" s="1">
        <v>10</v>
      </c>
      <c r="X26" s="4" t="str">
        <f t="shared" si="0"/>
        <v>Available</v>
      </c>
      <c r="Y26" s="4" t="str">
        <f t="shared" si="1"/>
        <v>Available</v>
      </c>
      <c r="Z26" s="4" t="str">
        <f t="shared" si="2"/>
        <v>Missing Education</v>
      </c>
      <c r="AA26" s="4" t="str">
        <f t="shared" si="3"/>
        <v>Available</v>
      </c>
      <c r="AB26" s="4" t="str">
        <f t="shared" si="4"/>
        <v>Harish Kumar</v>
      </c>
      <c r="AC26" s="4">
        <f t="shared" si="5"/>
        <v>8040</v>
      </c>
      <c r="AD26" s="4" t="str">
        <f t="shared" si="6"/>
        <v>Medium</v>
      </c>
      <c r="AE26" s="4" t="str">
        <f t="shared" si="7"/>
        <v>Mid-Level</v>
      </c>
      <c r="AF26" s="4" t="str">
        <f t="shared" si="8"/>
        <v>Meets Expectations</v>
      </c>
      <c r="AG26" s="4"/>
    </row>
    <row r="27" spans="1:33">
      <c r="A27" s="1">
        <v>1026</v>
      </c>
      <c r="B27" s="1" t="s">
        <v>178</v>
      </c>
      <c r="C27" s="1" t="s">
        <v>179</v>
      </c>
      <c r="D27" s="1" t="s">
        <v>180</v>
      </c>
      <c r="E27" s="1" t="s">
        <v>181</v>
      </c>
      <c r="F27" s="1" t="s">
        <v>27</v>
      </c>
      <c r="G27" s="1" t="s">
        <v>182</v>
      </c>
      <c r="H27" s="1" t="s">
        <v>43</v>
      </c>
      <c r="I27" s="1" t="s">
        <v>44</v>
      </c>
      <c r="J27" s="1" t="s">
        <v>53</v>
      </c>
      <c r="K27" s="1" t="s">
        <v>32</v>
      </c>
      <c r="L27" s="1">
        <v>2019</v>
      </c>
      <c r="M27" s="1">
        <v>7</v>
      </c>
      <c r="N27" s="1">
        <v>98000</v>
      </c>
      <c r="O27" s="1">
        <v>15</v>
      </c>
      <c r="P27" s="1">
        <v>14700</v>
      </c>
      <c r="Q27" s="1">
        <v>97</v>
      </c>
      <c r="R27" s="1" t="s">
        <v>45</v>
      </c>
      <c r="S27" s="1" t="s">
        <v>34</v>
      </c>
      <c r="T27" s="1" t="s">
        <v>35</v>
      </c>
      <c r="U27" s="1" t="s">
        <v>36</v>
      </c>
      <c r="V27" s="1">
        <v>8</v>
      </c>
      <c r="W27" s="1">
        <v>6</v>
      </c>
      <c r="X27" s="4" t="str">
        <f t="shared" si="0"/>
        <v>Available</v>
      </c>
      <c r="Y27" s="4" t="str">
        <f t="shared" si="1"/>
        <v>Available</v>
      </c>
      <c r="Z27" s="4" t="str">
        <f t="shared" si="2"/>
        <v>Available</v>
      </c>
      <c r="AA27" s="4" t="str">
        <f t="shared" si="3"/>
        <v>Available</v>
      </c>
      <c r="AB27" s="4" t="str">
        <f t="shared" si="4"/>
        <v>Keerthi Ramesh</v>
      </c>
      <c r="AC27" s="4">
        <f t="shared" si="5"/>
        <v>14700</v>
      </c>
      <c r="AD27" s="4" t="str">
        <f t="shared" si="6"/>
        <v>High</v>
      </c>
      <c r="AE27" s="4" t="str">
        <f t="shared" si="7"/>
        <v>Mid-Level</v>
      </c>
      <c r="AF27" s="4" t="str">
        <f t="shared" si="8"/>
        <v>Top Performer</v>
      </c>
      <c r="AG27" s="4"/>
    </row>
    <row r="28" spans="1:33">
      <c r="A28" s="1">
        <v>1027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58</v>
      </c>
      <c r="G28" s="1" t="s">
        <v>187</v>
      </c>
      <c r="H28" s="1" t="s">
        <v>188</v>
      </c>
      <c r="I28" s="1" t="s">
        <v>189</v>
      </c>
      <c r="J28" s="1" t="s">
        <v>31</v>
      </c>
      <c r="K28" s="1" t="s">
        <v>32</v>
      </c>
      <c r="L28" s="1">
        <v>2018</v>
      </c>
      <c r="M28" s="1">
        <v>8</v>
      </c>
      <c r="N28" s="1">
        <v>79000</v>
      </c>
      <c r="O28" s="1">
        <v>12</v>
      </c>
      <c r="P28" s="1">
        <v>9480</v>
      </c>
      <c r="Q28" s="1">
        <v>86</v>
      </c>
      <c r="R28" s="1" t="s">
        <v>33</v>
      </c>
      <c r="S28" s="1" t="s">
        <v>34</v>
      </c>
      <c r="T28" s="1" t="s">
        <v>64</v>
      </c>
      <c r="U28" s="1" t="s">
        <v>65</v>
      </c>
      <c r="V28" s="1">
        <v>4</v>
      </c>
      <c r="W28" s="1">
        <v>12</v>
      </c>
      <c r="X28" s="4" t="str">
        <f t="shared" si="0"/>
        <v>Available</v>
      </c>
      <c r="Y28" s="4" t="str">
        <f t="shared" si="1"/>
        <v>Available</v>
      </c>
      <c r="Z28" s="4" t="str">
        <f t="shared" si="2"/>
        <v>Available</v>
      </c>
      <c r="AA28" s="4" t="str">
        <f t="shared" si="3"/>
        <v>Available</v>
      </c>
      <c r="AB28" s="4" t="str">
        <f t="shared" si="4"/>
        <v>Sanjay Das</v>
      </c>
      <c r="AC28" s="4">
        <f t="shared" si="5"/>
        <v>9480</v>
      </c>
      <c r="AD28" s="4" t="str">
        <f t="shared" si="6"/>
        <v>Medium</v>
      </c>
      <c r="AE28" s="4" t="str">
        <f t="shared" si="7"/>
        <v>Senior</v>
      </c>
      <c r="AF28" s="4" t="str">
        <f t="shared" si="8"/>
        <v>Meets Expectations</v>
      </c>
      <c r="AG28" s="4"/>
    </row>
    <row r="29" spans="1:33">
      <c r="A29" s="1">
        <v>1028</v>
      </c>
      <c r="B29" s="1" t="s">
        <v>190</v>
      </c>
      <c r="C29" s="1" t="s">
        <v>191</v>
      </c>
      <c r="D29" s="1" t="s">
        <v>192</v>
      </c>
      <c r="E29" s="1" t="s">
        <v>193</v>
      </c>
      <c r="F29" s="1" t="s">
        <v>41</v>
      </c>
      <c r="G29" s="1" t="s">
        <v>194</v>
      </c>
      <c r="H29" s="1" t="s">
        <v>96</v>
      </c>
      <c r="I29" s="1" t="s">
        <v>97</v>
      </c>
      <c r="J29" s="1" t="s">
        <v>31</v>
      </c>
      <c r="K29" s="1" t="s">
        <v>32</v>
      </c>
      <c r="L29" s="1">
        <v>2020</v>
      </c>
      <c r="M29" s="1">
        <v>6</v>
      </c>
      <c r="N29" s="1">
        <v>61000</v>
      </c>
      <c r="O29" s="1">
        <v>12</v>
      </c>
      <c r="P29" s="1">
        <v>7320</v>
      </c>
      <c r="Q29" s="1">
        <v>90</v>
      </c>
      <c r="R29" s="1" t="s">
        <v>45</v>
      </c>
      <c r="S29" s="1" t="s">
        <v>34</v>
      </c>
      <c r="T29" s="1" t="s">
        <v>46</v>
      </c>
      <c r="U29" s="1" t="s">
        <v>47</v>
      </c>
      <c r="V29" s="1">
        <v>5</v>
      </c>
      <c r="W29" s="1">
        <v>8</v>
      </c>
      <c r="X29" s="4" t="str">
        <f t="shared" si="0"/>
        <v>Available</v>
      </c>
      <c r="Y29" s="4" t="str">
        <f t="shared" si="1"/>
        <v>Available</v>
      </c>
      <c r="Z29" s="4" t="str">
        <f t="shared" si="2"/>
        <v>Available</v>
      </c>
      <c r="AA29" s="4" t="str">
        <f t="shared" si="3"/>
        <v>Available</v>
      </c>
      <c r="AB29" s="4" t="str">
        <f t="shared" si="4"/>
        <v>Maya Thomas</v>
      </c>
      <c r="AC29" s="4">
        <f t="shared" si="5"/>
        <v>7320</v>
      </c>
      <c r="AD29" s="4" t="str">
        <f t="shared" si="6"/>
        <v>Medium</v>
      </c>
      <c r="AE29" s="4" t="str">
        <f t="shared" si="7"/>
        <v>Mid-Level</v>
      </c>
      <c r="AF29" s="4" t="str">
        <f t="shared" si="8"/>
        <v>Top Performer</v>
      </c>
      <c r="AG29" s="4"/>
    </row>
    <row r="30" spans="1:33">
      <c r="A30" s="1">
        <v>1029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27</v>
      </c>
      <c r="G30" s="1" t="s">
        <v>199</v>
      </c>
      <c r="H30" s="1" t="s">
        <v>29</v>
      </c>
      <c r="I30" s="1" t="s">
        <v>30</v>
      </c>
      <c r="J30" s="1" t="s">
        <v>62</v>
      </c>
      <c r="K30" s="1" t="s">
        <v>32</v>
      </c>
      <c r="L30" s="1">
        <v>2021</v>
      </c>
      <c r="M30" s="1">
        <v>5</v>
      </c>
      <c r="N30" s="1">
        <v>73000</v>
      </c>
      <c r="O30" s="1">
        <v>8</v>
      </c>
      <c r="P30" s="1">
        <v>5840</v>
      </c>
      <c r="Q30" s="1">
        <v>80</v>
      </c>
      <c r="R30" s="1" t="s">
        <v>33</v>
      </c>
      <c r="S30" s="1" t="s">
        <v>34</v>
      </c>
      <c r="T30" s="1" t="s">
        <v>35</v>
      </c>
      <c r="U30" s="1" t="s">
        <v>36</v>
      </c>
      <c r="V30" s="1">
        <v>4</v>
      </c>
      <c r="W30" s="1">
        <v>14</v>
      </c>
      <c r="X30" s="4" t="str">
        <f t="shared" si="0"/>
        <v>Available</v>
      </c>
      <c r="Y30" s="4" t="str">
        <f t="shared" si="1"/>
        <v>Available</v>
      </c>
      <c r="Z30" s="4" t="str">
        <f t="shared" si="2"/>
        <v>Available</v>
      </c>
      <c r="AA30" s="4" t="str">
        <f t="shared" si="3"/>
        <v>Available</v>
      </c>
      <c r="AB30" s="4" t="str">
        <f t="shared" si="4"/>
        <v>Ajay Rajan</v>
      </c>
      <c r="AC30" s="4">
        <f t="shared" si="5"/>
        <v>5840</v>
      </c>
      <c r="AD30" s="4" t="str">
        <f t="shared" si="6"/>
        <v>Medium</v>
      </c>
      <c r="AE30" s="4" t="str">
        <f t="shared" si="7"/>
        <v>Mid-Level</v>
      </c>
      <c r="AF30" s="4" t="str">
        <f t="shared" si="8"/>
        <v>Meets Expectations</v>
      </c>
      <c r="AG30" s="4"/>
    </row>
    <row r="31" spans="1:33">
      <c r="A31" s="1">
        <v>1030</v>
      </c>
      <c r="B31" s="1" t="s">
        <v>200</v>
      </c>
      <c r="C31" s="1" t="s">
        <v>201</v>
      </c>
      <c r="D31" s="1" t="s">
        <v>202</v>
      </c>
      <c r="E31" s="1" t="s">
        <v>203</v>
      </c>
      <c r="F31" s="1" t="s">
        <v>121</v>
      </c>
      <c r="G31" s="1" t="s">
        <v>204</v>
      </c>
      <c r="H31" s="1" t="s">
        <v>96</v>
      </c>
      <c r="I31" s="1" t="s">
        <v>97</v>
      </c>
      <c r="J31" s="1" t="s">
        <v>53</v>
      </c>
      <c r="K31" s="1" t="s">
        <v>32</v>
      </c>
      <c r="L31" s="1">
        <v>2022</v>
      </c>
      <c r="M31" s="1">
        <v>4</v>
      </c>
      <c r="N31" s="1">
        <v>59000</v>
      </c>
      <c r="O31" s="1">
        <v>12</v>
      </c>
      <c r="P31" s="1">
        <v>7080</v>
      </c>
      <c r="Q31" s="1">
        <v>87</v>
      </c>
      <c r="R31" s="1" t="s">
        <v>33</v>
      </c>
      <c r="S31" s="1" t="s">
        <v>34</v>
      </c>
      <c r="T31" s="1" t="s">
        <v>46</v>
      </c>
      <c r="U31" s="1" t="s">
        <v>123</v>
      </c>
      <c r="V31" s="1">
        <v>3</v>
      </c>
      <c r="W31" s="1">
        <v>11</v>
      </c>
      <c r="X31" s="4" t="str">
        <f t="shared" si="0"/>
        <v>Available</v>
      </c>
      <c r="Y31" s="4" t="str">
        <f t="shared" si="1"/>
        <v>Available</v>
      </c>
      <c r="Z31" s="4" t="str">
        <f t="shared" si="2"/>
        <v>Available</v>
      </c>
      <c r="AA31" s="4" t="str">
        <f t="shared" si="3"/>
        <v>Available</v>
      </c>
      <c r="AB31" s="4" t="str">
        <f t="shared" si="4"/>
        <v>Roshini Paul</v>
      </c>
      <c r="AC31" s="4">
        <f t="shared" si="5"/>
        <v>7080</v>
      </c>
      <c r="AD31" s="4" t="str">
        <f t="shared" si="6"/>
        <v>Low</v>
      </c>
      <c r="AE31" s="4" t="str">
        <f t="shared" si="7"/>
        <v>Junior</v>
      </c>
      <c r="AF31" s="4" t="str">
        <f t="shared" si="8"/>
        <v>Meets Expectations</v>
      </c>
      <c r="AG31" s="4"/>
    </row>
    <row r="32" spans="1:33">
      <c r="A32" s="1">
        <v>1031</v>
      </c>
      <c r="B32" s="1" t="s">
        <v>205</v>
      </c>
      <c r="C32" s="1" t="s">
        <v>150</v>
      </c>
      <c r="D32" s="1" t="s">
        <v>206</v>
      </c>
      <c r="E32" s="1" t="s">
        <v>207</v>
      </c>
      <c r="F32" s="1" t="s">
        <v>27</v>
      </c>
      <c r="G32" s="1" t="s">
        <v>208</v>
      </c>
      <c r="H32" s="1" t="s">
        <v>60</v>
      </c>
      <c r="I32" s="1" t="s">
        <v>61</v>
      </c>
      <c r="J32" s="1" t="s">
        <v>31</v>
      </c>
      <c r="K32" s="1" t="s">
        <v>32</v>
      </c>
      <c r="L32" s="1">
        <v>2016</v>
      </c>
      <c r="M32" s="1">
        <v>10</v>
      </c>
      <c r="N32" s="1">
        <v>125000</v>
      </c>
      <c r="O32" s="1">
        <v>15</v>
      </c>
      <c r="P32" s="1">
        <v>18750</v>
      </c>
      <c r="Q32" s="1">
        <v>95</v>
      </c>
      <c r="R32" s="1" t="s">
        <v>45</v>
      </c>
      <c r="S32" s="1" t="s">
        <v>34</v>
      </c>
      <c r="T32" s="1" t="s">
        <v>35</v>
      </c>
      <c r="U32" s="1" t="s">
        <v>36</v>
      </c>
      <c r="V32" s="1">
        <v>9</v>
      </c>
      <c r="W32" s="1">
        <v>7</v>
      </c>
      <c r="X32" s="4" t="str">
        <f t="shared" si="0"/>
        <v>Available</v>
      </c>
      <c r="Y32" s="4" t="str">
        <f t="shared" si="1"/>
        <v>Available</v>
      </c>
      <c r="Z32" s="4" t="str">
        <f t="shared" si="2"/>
        <v>Available</v>
      </c>
      <c r="AA32" s="4" t="str">
        <f t="shared" si="3"/>
        <v>Available</v>
      </c>
      <c r="AB32" s="4" t="str">
        <f t="shared" si="4"/>
        <v>Bharath Rao</v>
      </c>
      <c r="AC32" s="4">
        <f t="shared" si="5"/>
        <v>18750</v>
      </c>
      <c r="AD32" s="4" t="str">
        <f t="shared" si="6"/>
        <v>High</v>
      </c>
      <c r="AE32" s="4" t="str">
        <f t="shared" si="7"/>
        <v>Senior</v>
      </c>
      <c r="AF32" s="4" t="str">
        <f t="shared" si="8"/>
        <v>Top Performer</v>
      </c>
      <c r="AG32" s="4"/>
    </row>
    <row r="33" spans="1:33">
      <c r="A33" s="1">
        <v>1032</v>
      </c>
      <c r="B33" s="1" t="s">
        <v>209</v>
      </c>
      <c r="C33" s="1" t="s">
        <v>210</v>
      </c>
      <c r="D33" s="1" t="s">
        <v>211</v>
      </c>
      <c r="E33" s="1" t="s">
        <v>212</v>
      </c>
      <c r="F33" s="1" t="s">
        <v>58</v>
      </c>
      <c r="G33" s="1" t="s">
        <v>59</v>
      </c>
      <c r="H33" s="1" t="s">
        <v>188</v>
      </c>
      <c r="I33" s="1" t="s">
        <v>189</v>
      </c>
      <c r="J33" s="1" t="s">
        <v>62</v>
      </c>
      <c r="K33" s="1" t="s">
        <v>32</v>
      </c>
      <c r="L33" s="1">
        <v>2022</v>
      </c>
      <c r="M33" s="1">
        <v>4</v>
      </c>
      <c r="N33" s="1">
        <v>60000</v>
      </c>
      <c r="O33" s="1">
        <v>8</v>
      </c>
      <c r="P33" s="1">
        <v>4800</v>
      </c>
      <c r="Q33" s="1">
        <v>78</v>
      </c>
      <c r="R33" s="1" t="s">
        <v>63</v>
      </c>
      <c r="S33" s="1" t="s">
        <v>34</v>
      </c>
      <c r="T33" s="1" t="s">
        <v>64</v>
      </c>
      <c r="U33" s="1" t="s">
        <v>65</v>
      </c>
      <c r="V33" s="1">
        <v>3</v>
      </c>
      <c r="W33" s="1">
        <v>15</v>
      </c>
      <c r="X33" s="4" t="str">
        <f t="shared" si="0"/>
        <v>Available</v>
      </c>
      <c r="Y33" s="4" t="str">
        <f t="shared" si="1"/>
        <v>Available</v>
      </c>
      <c r="Z33" s="4" t="str">
        <f t="shared" si="2"/>
        <v>Available</v>
      </c>
      <c r="AA33" s="4" t="str">
        <f t="shared" si="3"/>
        <v>Available</v>
      </c>
      <c r="AB33" s="4" t="str">
        <f t="shared" si="4"/>
        <v>Ishita Roy</v>
      </c>
      <c r="AC33" s="4">
        <f t="shared" si="5"/>
        <v>4800</v>
      </c>
      <c r="AD33" s="4" t="str">
        <f t="shared" si="6"/>
        <v>Medium</v>
      </c>
      <c r="AE33" s="4" t="str">
        <f t="shared" si="7"/>
        <v>Junior</v>
      </c>
      <c r="AF33" s="4" t="str">
        <f t="shared" si="8"/>
        <v>Meets Expectations</v>
      </c>
      <c r="AG33" s="4"/>
    </row>
    <row r="34" spans="1:33">
      <c r="A34" s="1">
        <v>1033</v>
      </c>
      <c r="B34" s="1" t="s">
        <v>213</v>
      </c>
      <c r="C34" s="1" t="s">
        <v>24</v>
      </c>
      <c r="D34" s="1" t="s">
        <v>214</v>
      </c>
      <c r="E34" s="1" t="s">
        <v>215</v>
      </c>
      <c r="F34" s="1" t="s">
        <v>80</v>
      </c>
      <c r="G34" s="1" t="s">
        <v>216</v>
      </c>
      <c r="H34" s="1" t="s">
        <v>103</v>
      </c>
      <c r="I34" s="1" t="s">
        <v>104</v>
      </c>
      <c r="J34" s="1" t="s">
        <v>31</v>
      </c>
      <c r="K34" s="1" t="s">
        <v>32</v>
      </c>
      <c r="L34" s="1">
        <v>2017</v>
      </c>
      <c r="M34" s="1">
        <v>9</v>
      </c>
      <c r="N34" s="1">
        <v>98000</v>
      </c>
      <c r="O34" s="1">
        <v>15</v>
      </c>
      <c r="P34" s="1">
        <v>14700</v>
      </c>
      <c r="Q34" s="1">
        <v>93</v>
      </c>
      <c r="R34" s="1" t="s">
        <v>45</v>
      </c>
      <c r="S34" s="1" t="s">
        <v>34</v>
      </c>
      <c r="T34" s="1" t="s">
        <v>46</v>
      </c>
      <c r="U34" s="1" t="s">
        <v>82</v>
      </c>
      <c r="V34" s="1">
        <v>7</v>
      </c>
      <c r="W34" s="1">
        <v>9</v>
      </c>
      <c r="X34" s="4" t="str">
        <f t="shared" si="0"/>
        <v>Available</v>
      </c>
      <c r="Y34" s="4" t="str">
        <f t="shared" si="1"/>
        <v>Available</v>
      </c>
      <c r="Z34" s="4" t="str">
        <f t="shared" si="2"/>
        <v>Available</v>
      </c>
      <c r="AA34" s="4" t="str">
        <f t="shared" si="3"/>
        <v>Available</v>
      </c>
      <c r="AB34" s="4" t="str">
        <f t="shared" si="4"/>
        <v>Naveen Kumar</v>
      </c>
      <c r="AC34" s="4">
        <f t="shared" si="5"/>
        <v>14700</v>
      </c>
      <c r="AD34" s="4" t="str">
        <f t="shared" si="6"/>
        <v>High</v>
      </c>
      <c r="AE34" s="4" t="str">
        <f t="shared" si="7"/>
        <v>Senior</v>
      </c>
      <c r="AF34" s="4" t="str">
        <f t="shared" si="8"/>
        <v>Top Performer</v>
      </c>
      <c r="AG34" s="4"/>
    </row>
    <row r="35" spans="1:33">
      <c r="A35" s="1">
        <v>1034</v>
      </c>
      <c r="B35" s="1" t="s">
        <v>217</v>
      </c>
      <c r="C35" s="1" t="s">
        <v>218</v>
      </c>
      <c r="D35" s="1" t="s">
        <v>219</v>
      </c>
      <c r="E35" s="1" t="s">
        <v>220</v>
      </c>
      <c r="F35" s="1" t="s">
        <v>27</v>
      </c>
      <c r="G35" s="1" t="s">
        <v>221</v>
      </c>
      <c r="H35" s="1" t="s">
        <v>29</v>
      </c>
      <c r="I35" s="1" t="s">
        <v>30</v>
      </c>
      <c r="J35" s="1" t="s">
        <v>62</v>
      </c>
      <c r="K35" s="1" t="s">
        <v>32</v>
      </c>
      <c r="L35" s="1">
        <v>2023</v>
      </c>
      <c r="M35" s="1">
        <v>3</v>
      </c>
      <c r="N35" s="1">
        <v>52000</v>
      </c>
      <c r="O35" s="1">
        <v>8</v>
      </c>
      <c r="P35" s="1">
        <v>4160</v>
      </c>
      <c r="Q35" s="1">
        <v>75</v>
      </c>
      <c r="R35" s="1" t="s">
        <v>63</v>
      </c>
      <c r="S35" s="1" t="s">
        <v>34</v>
      </c>
      <c r="T35" s="1" t="s">
        <v>35</v>
      </c>
      <c r="U35" s="1" t="s">
        <v>36</v>
      </c>
      <c r="V35" s="1">
        <v>2</v>
      </c>
      <c r="W35" s="1">
        <v>18</v>
      </c>
      <c r="X35" s="4" t="str">
        <f t="shared" si="0"/>
        <v>Available</v>
      </c>
      <c r="Y35" s="4" t="str">
        <f t="shared" si="1"/>
        <v>Available</v>
      </c>
      <c r="Z35" s="4" t="str">
        <f t="shared" si="2"/>
        <v>Available</v>
      </c>
      <c r="AA35" s="4" t="str">
        <f t="shared" si="3"/>
        <v>Available</v>
      </c>
      <c r="AB35" s="4" t="str">
        <f t="shared" si="4"/>
        <v>Harini S</v>
      </c>
      <c r="AC35" s="4">
        <f t="shared" si="5"/>
        <v>4160</v>
      </c>
      <c r="AD35" s="4" t="str">
        <f t="shared" si="6"/>
        <v>Low</v>
      </c>
      <c r="AE35" s="4" t="str">
        <f t="shared" si="7"/>
        <v>Junior</v>
      </c>
      <c r="AF35" s="4" t="str">
        <f t="shared" si="8"/>
        <v>Meets Expectations</v>
      </c>
      <c r="AG35" s="4"/>
    </row>
    <row r="36" spans="1:33">
      <c r="A36" s="1">
        <v>1035</v>
      </c>
      <c r="B36" s="1" t="s">
        <v>155</v>
      </c>
      <c r="C36" s="1" t="s">
        <v>118</v>
      </c>
      <c r="D36" s="1" t="s">
        <v>222</v>
      </c>
      <c r="E36" s="1" t="s">
        <v>223</v>
      </c>
      <c r="F36" s="1" t="s">
        <v>114</v>
      </c>
      <c r="G36" s="1" t="s">
        <v>224</v>
      </c>
      <c r="H36" s="1" t="s">
        <v>148</v>
      </c>
      <c r="I36" s="1" t="s">
        <v>30</v>
      </c>
      <c r="J36" s="1" t="s">
        <v>31</v>
      </c>
      <c r="K36" s="1" t="s">
        <v>32</v>
      </c>
      <c r="L36" s="1">
        <v>2021</v>
      </c>
      <c r="M36" s="1">
        <v>5</v>
      </c>
      <c r="N36" s="1">
        <v>62000</v>
      </c>
      <c r="O36" s="1">
        <v>8</v>
      </c>
      <c r="P36" s="1">
        <v>4960</v>
      </c>
      <c r="Q36" s="1">
        <v>83</v>
      </c>
      <c r="R36" s="1" t="s">
        <v>33</v>
      </c>
      <c r="S36" s="1" t="s">
        <v>34</v>
      </c>
      <c r="T36" s="1" t="s">
        <v>46</v>
      </c>
      <c r="U36" s="1" t="s">
        <v>116</v>
      </c>
      <c r="V36" s="1">
        <v>4</v>
      </c>
      <c r="W36" s="1"/>
      <c r="X36" s="4" t="str">
        <f t="shared" si="0"/>
        <v>Available</v>
      </c>
      <c r="Y36" s="4" t="str">
        <f t="shared" si="1"/>
        <v>Available</v>
      </c>
      <c r="Z36" s="4" t="str">
        <f t="shared" si="2"/>
        <v>Available</v>
      </c>
      <c r="AA36" s="4" t="str">
        <f t="shared" si="3"/>
        <v>Missing Leave Balance</v>
      </c>
      <c r="AB36" s="4" t="str">
        <f t="shared" si="4"/>
        <v>Mohan Raj</v>
      </c>
      <c r="AC36" s="4">
        <f t="shared" si="5"/>
        <v>4960</v>
      </c>
      <c r="AD36" s="4" t="str">
        <f t="shared" si="6"/>
        <v>Medium</v>
      </c>
      <c r="AE36" s="4" t="str">
        <f t="shared" si="7"/>
        <v>Mid-Level</v>
      </c>
      <c r="AF36" s="4" t="str">
        <f t="shared" si="8"/>
        <v>Meets Expectations</v>
      </c>
      <c r="AG36" s="4"/>
    </row>
    <row r="37" spans="1:33">
      <c r="A37" s="1">
        <v>1036</v>
      </c>
      <c r="B37" s="1" t="s">
        <v>225</v>
      </c>
      <c r="C37" s="1" t="s">
        <v>226</v>
      </c>
      <c r="D37" s="1" t="s">
        <v>227</v>
      </c>
      <c r="E37" s="1" t="s">
        <v>228</v>
      </c>
      <c r="F37" s="1" t="s">
        <v>41</v>
      </c>
      <c r="G37" s="1" t="s">
        <v>229</v>
      </c>
      <c r="H37" s="1" t="s">
        <v>43</v>
      </c>
      <c r="I37" s="1" t="s">
        <v>44</v>
      </c>
      <c r="J37" s="1" t="s">
        <v>53</v>
      </c>
      <c r="K37" s="1" t="s">
        <v>32</v>
      </c>
      <c r="L37" s="1">
        <v>2022</v>
      </c>
      <c r="M37" s="1">
        <v>4</v>
      </c>
      <c r="N37" s="1">
        <v>56000</v>
      </c>
      <c r="O37" s="1">
        <v>12</v>
      </c>
      <c r="P37" s="1">
        <v>6720</v>
      </c>
      <c r="Q37" s="1">
        <v>88</v>
      </c>
      <c r="R37" s="1" t="s">
        <v>33</v>
      </c>
      <c r="S37" s="1" t="s">
        <v>34</v>
      </c>
      <c r="T37" s="1" t="s">
        <v>46</v>
      </c>
      <c r="U37" s="1" t="s">
        <v>47</v>
      </c>
      <c r="V37" s="1">
        <v>3</v>
      </c>
      <c r="W37" s="1">
        <v>10</v>
      </c>
      <c r="X37" s="4" t="str">
        <f t="shared" si="0"/>
        <v>Available</v>
      </c>
      <c r="Y37" s="4" t="str">
        <f t="shared" si="1"/>
        <v>Available</v>
      </c>
      <c r="Z37" s="4" t="str">
        <f t="shared" si="2"/>
        <v>Available</v>
      </c>
      <c r="AA37" s="4" t="str">
        <f t="shared" si="3"/>
        <v>Available</v>
      </c>
      <c r="AB37" s="4" t="str">
        <f t="shared" si="4"/>
        <v>Aparna Krish</v>
      </c>
      <c r="AC37" s="4">
        <f t="shared" si="5"/>
        <v>6720</v>
      </c>
      <c r="AD37" s="4" t="str">
        <f t="shared" si="6"/>
        <v>Low</v>
      </c>
      <c r="AE37" s="4" t="str">
        <f t="shared" si="7"/>
        <v>Junior</v>
      </c>
      <c r="AF37" s="4" t="str">
        <f t="shared" si="8"/>
        <v>Meets Expectations</v>
      </c>
      <c r="AG37" s="4"/>
    </row>
    <row r="38" spans="1:33">
      <c r="A38" s="1">
        <v>1037</v>
      </c>
      <c r="B38" s="1" t="s">
        <v>230</v>
      </c>
      <c r="C38" s="1" t="s">
        <v>231</v>
      </c>
      <c r="D38" s="1" t="s">
        <v>232</v>
      </c>
      <c r="E38" s="1" t="s">
        <v>233</v>
      </c>
      <c r="F38" s="1" t="s">
        <v>27</v>
      </c>
      <c r="G38" s="1" t="s">
        <v>234</v>
      </c>
      <c r="H38" s="1" t="s">
        <v>138</v>
      </c>
      <c r="I38" s="1" t="s">
        <v>138</v>
      </c>
      <c r="J38" s="1" t="s">
        <v>62</v>
      </c>
      <c r="K38" s="1" t="s">
        <v>32</v>
      </c>
      <c r="L38" s="1">
        <v>2019</v>
      </c>
      <c r="M38" s="1">
        <v>7</v>
      </c>
      <c r="N38" s="1">
        <v>72000</v>
      </c>
      <c r="O38" s="1">
        <v>8</v>
      </c>
      <c r="P38" s="1">
        <v>5760</v>
      </c>
      <c r="Q38" s="1">
        <v>84</v>
      </c>
      <c r="R38" s="1" t="s">
        <v>33</v>
      </c>
      <c r="S38" s="1" t="s">
        <v>34</v>
      </c>
      <c r="T38" s="1" t="s">
        <v>35</v>
      </c>
      <c r="U38" s="1" t="s">
        <v>36</v>
      </c>
      <c r="V38" s="1">
        <v>5</v>
      </c>
      <c r="W38" s="1">
        <v>12</v>
      </c>
      <c r="X38" s="4" t="str">
        <f t="shared" si="0"/>
        <v>Available</v>
      </c>
      <c r="Y38" s="4" t="str">
        <f t="shared" si="1"/>
        <v>Available</v>
      </c>
      <c r="Z38" s="4" t="str">
        <f t="shared" si="2"/>
        <v>Available</v>
      </c>
      <c r="AA38" s="4" t="str">
        <f t="shared" si="3"/>
        <v>Available</v>
      </c>
      <c r="AB38" s="4" t="str">
        <f t="shared" si="4"/>
        <v>Dinesh Yadav</v>
      </c>
      <c r="AC38" s="4">
        <f t="shared" si="5"/>
        <v>5760</v>
      </c>
      <c r="AD38" s="4" t="str">
        <f t="shared" si="6"/>
        <v>Medium</v>
      </c>
      <c r="AE38" s="4" t="str">
        <f t="shared" si="7"/>
        <v>Mid-Level</v>
      </c>
      <c r="AF38" s="4" t="str">
        <f t="shared" si="8"/>
        <v>Meets Expectations</v>
      </c>
      <c r="AG38" s="4"/>
    </row>
    <row r="39" spans="1:33">
      <c r="A39" s="1">
        <v>1038</v>
      </c>
      <c r="B39" s="1" t="s">
        <v>235</v>
      </c>
      <c r="C39" s="1" t="s">
        <v>236</v>
      </c>
      <c r="D39" s="1" t="s">
        <v>237</v>
      </c>
      <c r="E39" s="1" t="s">
        <v>238</v>
      </c>
      <c r="F39" s="1" t="s">
        <v>121</v>
      </c>
      <c r="G39" s="1" t="s">
        <v>239</v>
      </c>
      <c r="H39" s="1" t="s">
        <v>43</v>
      </c>
      <c r="I39" s="1" t="s">
        <v>44</v>
      </c>
      <c r="J39" s="1" t="s">
        <v>31</v>
      </c>
      <c r="K39" s="1" t="s">
        <v>32</v>
      </c>
      <c r="L39" s="1">
        <v>2018</v>
      </c>
      <c r="M39" s="1">
        <v>8</v>
      </c>
      <c r="N39" s="1">
        <v>88000</v>
      </c>
      <c r="O39" s="1">
        <v>15</v>
      </c>
      <c r="P39" s="1">
        <v>13200</v>
      </c>
      <c r="Q39" s="1">
        <v>92</v>
      </c>
      <c r="R39" s="1" t="s">
        <v>45</v>
      </c>
      <c r="S39" s="1" t="s">
        <v>34</v>
      </c>
      <c r="T39" s="1" t="s">
        <v>46</v>
      </c>
      <c r="U39" s="1" t="s">
        <v>123</v>
      </c>
      <c r="V39" s="1">
        <v>6</v>
      </c>
      <c r="W39" s="1">
        <v>8</v>
      </c>
      <c r="X39" s="4" t="str">
        <f t="shared" si="0"/>
        <v>Available</v>
      </c>
      <c r="Y39" s="4" t="str">
        <f t="shared" si="1"/>
        <v>Available</v>
      </c>
      <c r="Z39" s="4" t="str">
        <f t="shared" si="2"/>
        <v>Available</v>
      </c>
      <c r="AA39" s="4" t="str">
        <f t="shared" si="3"/>
        <v>Available</v>
      </c>
      <c r="AB39" s="4" t="str">
        <f t="shared" si="4"/>
        <v>Sangeetha M</v>
      </c>
      <c r="AC39" s="4">
        <f t="shared" si="5"/>
        <v>13200</v>
      </c>
      <c r="AD39" s="4" t="str">
        <f t="shared" si="6"/>
        <v>Medium</v>
      </c>
      <c r="AE39" s="4" t="str">
        <f t="shared" si="7"/>
        <v>Senior</v>
      </c>
      <c r="AF39" s="4" t="str">
        <f t="shared" si="8"/>
        <v>Top Performer</v>
      </c>
      <c r="AG39" s="4"/>
    </row>
    <row r="40" spans="1:33">
      <c r="A40" s="1">
        <v>1039</v>
      </c>
      <c r="B40" s="1" t="s">
        <v>124</v>
      </c>
      <c r="C40" s="1" t="s">
        <v>240</v>
      </c>
      <c r="D40" s="1" t="s">
        <v>241</v>
      </c>
      <c r="E40" s="1" t="s">
        <v>242</v>
      </c>
      <c r="F40" s="1" t="s">
        <v>27</v>
      </c>
      <c r="G40" s="1" t="s">
        <v>243</v>
      </c>
      <c r="H40" s="1" t="s">
        <v>29</v>
      </c>
      <c r="I40" s="1" t="s">
        <v>30</v>
      </c>
      <c r="J40" s="1" t="s">
        <v>31</v>
      </c>
      <c r="K40" s="1" t="s">
        <v>32</v>
      </c>
      <c r="L40" s="1">
        <v>2023</v>
      </c>
      <c r="M40" s="1">
        <v>3</v>
      </c>
      <c r="N40" s="1">
        <v>56000</v>
      </c>
      <c r="O40" s="1">
        <v>12</v>
      </c>
      <c r="P40" s="1">
        <v>6720</v>
      </c>
      <c r="Q40" s="1">
        <v>86</v>
      </c>
      <c r="R40" s="1" t="s">
        <v>33</v>
      </c>
      <c r="S40" s="1" t="s">
        <v>34</v>
      </c>
      <c r="T40" s="1" t="s">
        <v>35</v>
      </c>
      <c r="U40" s="1" t="s">
        <v>36</v>
      </c>
      <c r="V40" s="1">
        <v>3</v>
      </c>
      <c r="W40" s="1">
        <v>15</v>
      </c>
      <c r="X40" s="4" t="str">
        <f t="shared" si="0"/>
        <v>Available</v>
      </c>
      <c r="Y40" s="4" t="str">
        <f t="shared" si="1"/>
        <v>Available</v>
      </c>
      <c r="Z40" s="4" t="str">
        <f t="shared" si="2"/>
        <v>Available</v>
      </c>
      <c r="AA40" s="4" t="str">
        <f t="shared" si="3"/>
        <v>Available</v>
      </c>
      <c r="AB40" s="4" t="str">
        <f t="shared" si="4"/>
        <v>Prakash N</v>
      </c>
      <c r="AC40" s="4">
        <f t="shared" si="5"/>
        <v>6720</v>
      </c>
      <c r="AD40" s="4" t="str">
        <f t="shared" si="6"/>
        <v>Low</v>
      </c>
      <c r="AE40" s="4" t="str">
        <f t="shared" si="7"/>
        <v>Junior</v>
      </c>
      <c r="AF40" s="4" t="str">
        <f t="shared" si="8"/>
        <v>Meets Expectations</v>
      </c>
      <c r="AG40" s="4"/>
    </row>
    <row r="41" spans="1:33">
      <c r="A41" s="1">
        <v>1040</v>
      </c>
      <c r="B41" s="1" t="s">
        <v>244</v>
      </c>
      <c r="C41" s="1" t="s">
        <v>245</v>
      </c>
      <c r="D41" s="1" t="s">
        <v>246</v>
      </c>
      <c r="E41" s="1" t="s">
        <v>247</v>
      </c>
      <c r="F41" s="1" t="s">
        <v>58</v>
      </c>
      <c r="G41" s="1" t="s">
        <v>248</v>
      </c>
      <c r="H41" s="1" t="s">
        <v>249</v>
      </c>
      <c r="I41" s="1" t="s">
        <v>30</v>
      </c>
      <c r="J41" s="1" t="s">
        <v>62</v>
      </c>
      <c r="K41" s="1" t="s">
        <v>32</v>
      </c>
      <c r="L41" s="1">
        <v>2024</v>
      </c>
      <c r="M41" s="1">
        <v>2</v>
      </c>
      <c r="N41" s="1">
        <v>44000</v>
      </c>
      <c r="O41" s="1">
        <v>5</v>
      </c>
      <c r="P41" s="1">
        <v>2200</v>
      </c>
      <c r="Q41" s="1">
        <v>74</v>
      </c>
      <c r="R41" s="1" t="s">
        <v>63</v>
      </c>
      <c r="S41" s="1" t="s">
        <v>34</v>
      </c>
      <c r="T41" s="1" t="s">
        <v>64</v>
      </c>
      <c r="U41" s="1" t="s">
        <v>65</v>
      </c>
      <c r="V41" s="1">
        <v>2</v>
      </c>
      <c r="W41" s="1">
        <v>17</v>
      </c>
      <c r="X41" s="4" t="str">
        <f t="shared" si="0"/>
        <v>Available</v>
      </c>
      <c r="Y41" s="4" t="str">
        <f t="shared" si="1"/>
        <v>Available</v>
      </c>
      <c r="Z41" s="4" t="str">
        <f t="shared" si="2"/>
        <v>Available</v>
      </c>
      <c r="AA41" s="4" t="str">
        <f t="shared" si="3"/>
        <v>Available</v>
      </c>
      <c r="AB41" s="4" t="str">
        <f t="shared" si="4"/>
        <v>Gayathri K</v>
      </c>
      <c r="AC41" s="4">
        <f t="shared" si="5"/>
        <v>2200</v>
      </c>
      <c r="AD41" s="4" t="str">
        <f t="shared" si="6"/>
        <v>Low</v>
      </c>
      <c r="AE41" s="4" t="str">
        <f t="shared" si="7"/>
        <v>Junior</v>
      </c>
      <c r="AF41" s="4" t="str">
        <f t="shared" si="8"/>
        <v>Needs Improvement</v>
      </c>
      <c r="AG41" s="4"/>
    </row>
    <row r="42" spans="1:33">
      <c r="A42" s="1">
        <v>1041</v>
      </c>
      <c r="B42" s="1" t="s">
        <v>250</v>
      </c>
      <c r="C42" s="1" t="s">
        <v>251</v>
      </c>
      <c r="D42" s="1" t="s">
        <v>252</v>
      </c>
      <c r="E42" s="1" t="s">
        <v>253</v>
      </c>
      <c r="F42" s="1" t="s">
        <v>80</v>
      </c>
      <c r="G42" s="1" t="s">
        <v>254</v>
      </c>
      <c r="H42" s="1" t="s">
        <v>255</v>
      </c>
      <c r="I42" s="1" t="s">
        <v>104</v>
      </c>
      <c r="J42" s="1" t="s">
        <v>31</v>
      </c>
      <c r="K42" s="1" t="s">
        <v>32</v>
      </c>
      <c r="L42" s="1">
        <v>2020</v>
      </c>
      <c r="M42" s="1">
        <v>6</v>
      </c>
      <c r="N42" s="1">
        <v>82000</v>
      </c>
      <c r="O42" s="1">
        <v>12</v>
      </c>
      <c r="P42" s="1">
        <v>9840</v>
      </c>
      <c r="Q42" s="1">
        <v>89</v>
      </c>
      <c r="R42" s="1" t="s">
        <v>33</v>
      </c>
      <c r="S42" s="1" t="s">
        <v>34</v>
      </c>
      <c r="T42" s="1" t="s">
        <v>46</v>
      </c>
      <c r="U42" s="1" t="s">
        <v>82</v>
      </c>
      <c r="V42" s="1">
        <v>5</v>
      </c>
      <c r="W42" s="1">
        <v>9</v>
      </c>
      <c r="X42" s="4" t="str">
        <f t="shared" si="0"/>
        <v>Available</v>
      </c>
      <c r="Y42" s="4" t="str">
        <f t="shared" si="1"/>
        <v>Available</v>
      </c>
      <c r="Z42" s="4" t="str">
        <f t="shared" si="2"/>
        <v>Available</v>
      </c>
      <c r="AA42" s="4" t="str">
        <f t="shared" si="3"/>
        <v>Available</v>
      </c>
      <c r="AB42" s="4" t="str">
        <f t="shared" si="4"/>
        <v>Rohit Mehta</v>
      </c>
      <c r="AC42" s="4">
        <f t="shared" si="5"/>
        <v>9840</v>
      </c>
      <c r="AD42" s="4" t="str">
        <f t="shared" si="6"/>
        <v>Medium</v>
      </c>
      <c r="AE42" s="4" t="str">
        <f t="shared" si="7"/>
        <v>Mid-Level</v>
      </c>
      <c r="AF42" s="4" t="str">
        <f t="shared" si="8"/>
        <v>Meets Expectations</v>
      </c>
      <c r="AG42" s="4"/>
    </row>
    <row r="43" spans="1:33">
      <c r="A43" s="1">
        <v>1042</v>
      </c>
      <c r="B43" s="1" t="s">
        <v>256</v>
      </c>
      <c r="C43" s="1" t="s">
        <v>257</v>
      </c>
      <c r="D43" s="1" t="s">
        <v>258</v>
      </c>
      <c r="E43" s="1" t="s">
        <v>259</v>
      </c>
      <c r="F43" s="1" t="s">
        <v>27</v>
      </c>
      <c r="G43" s="1" t="s">
        <v>260</v>
      </c>
      <c r="H43" s="1" t="s">
        <v>29</v>
      </c>
      <c r="I43" s="1" t="s">
        <v>30</v>
      </c>
      <c r="J43" s="1" t="s">
        <v>53</v>
      </c>
      <c r="K43" s="1" t="s">
        <v>32</v>
      </c>
      <c r="L43" s="1">
        <v>2021</v>
      </c>
      <c r="M43" s="1">
        <v>5</v>
      </c>
      <c r="N43" s="1">
        <v>68000</v>
      </c>
      <c r="O43" s="1">
        <v>15</v>
      </c>
      <c r="P43" s="1">
        <v>10200</v>
      </c>
      <c r="Q43" s="1">
        <v>94</v>
      </c>
      <c r="R43" s="1" t="s">
        <v>45</v>
      </c>
      <c r="S43" s="1" t="s">
        <v>34</v>
      </c>
      <c r="T43" s="1" t="s">
        <v>35</v>
      </c>
      <c r="U43" s="1" t="s">
        <v>36</v>
      </c>
      <c r="V43" s="1">
        <v>6</v>
      </c>
      <c r="W43" s="1">
        <v>7</v>
      </c>
      <c r="X43" s="4" t="str">
        <f t="shared" si="0"/>
        <v>Available</v>
      </c>
      <c r="Y43" s="4" t="str">
        <f t="shared" si="1"/>
        <v>Available</v>
      </c>
      <c r="Z43" s="4" t="str">
        <f t="shared" si="2"/>
        <v>Available</v>
      </c>
      <c r="AA43" s="4" t="str">
        <f t="shared" si="3"/>
        <v>Available</v>
      </c>
      <c r="AB43" s="4" t="str">
        <f t="shared" si="4"/>
        <v>Janani R</v>
      </c>
      <c r="AC43" s="4">
        <f t="shared" si="5"/>
        <v>10200</v>
      </c>
      <c r="AD43" s="4" t="str">
        <f t="shared" si="6"/>
        <v>Medium</v>
      </c>
      <c r="AE43" s="4" t="str">
        <f t="shared" si="7"/>
        <v>Mid-Level</v>
      </c>
      <c r="AF43" s="4" t="str">
        <f t="shared" si="8"/>
        <v>Top Performer</v>
      </c>
      <c r="AG43" s="4"/>
    </row>
    <row r="44" spans="1:33">
      <c r="A44" s="1">
        <v>1043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114</v>
      </c>
      <c r="G44" s="1" t="s">
        <v>265</v>
      </c>
      <c r="H44" s="1" t="s">
        <v>43</v>
      </c>
      <c r="I44" s="1" t="s">
        <v>44</v>
      </c>
      <c r="J44" s="1" t="s">
        <v>62</v>
      </c>
      <c r="K44" s="1" t="s">
        <v>32</v>
      </c>
      <c r="L44" s="1">
        <v>2022</v>
      </c>
      <c r="M44" s="1">
        <v>4</v>
      </c>
      <c r="N44" s="1">
        <v>58000</v>
      </c>
      <c r="O44" s="1">
        <v>8</v>
      </c>
      <c r="P44" s="1">
        <v>4640</v>
      </c>
      <c r="Q44" s="1">
        <v>81</v>
      </c>
      <c r="R44" s="1" t="s">
        <v>33</v>
      </c>
      <c r="S44" s="1" t="s">
        <v>34</v>
      </c>
      <c r="T44" s="1" t="s">
        <v>46</v>
      </c>
      <c r="U44" s="1" t="s">
        <v>116</v>
      </c>
      <c r="V44" s="1">
        <v>3</v>
      </c>
      <c r="W44" s="1">
        <v>14</v>
      </c>
      <c r="X44" s="4" t="str">
        <f t="shared" si="0"/>
        <v>Available</v>
      </c>
      <c r="Y44" s="4" t="str">
        <f t="shared" si="1"/>
        <v>Available</v>
      </c>
      <c r="Z44" s="4" t="str">
        <f t="shared" si="2"/>
        <v>Available</v>
      </c>
      <c r="AA44" s="4" t="str">
        <f t="shared" si="3"/>
        <v>Available</v>
      </c>
      <c r="AB44" s="4" t="str">
        <f t="shared" si="4"/>
        <v>Faizal Ahmed</v>
      </c>
      <c r="AC44" s="4">
        <f t="shared" si="5"/>
        <v>4640</v>
      </c>
      <c r="AD44" s="4" t="str">
        <f t="shared" si="6"/>
        <v>Low</v>
      </c>
      <c r="AE44" s="4" t="str">
        <f t="shared" si="7"/>
        <v>Junior</v>
      </c>
      <c r="AF44" s="4" t="str">
        <f t="shared" si="8"/>
        <v>Meets Expectations</v>
      </c>
      <c r="AG44" s="4"/>
    </row>
    <row r="45" spans="1:33">
      <c r="A45" s="1">
        <v>1044</v>
      </c>
      <c r="B45" s="1" t="s">
        <v>266</v>
      </c>
      <c r="C45" s="1" t="s">
        <v>257</v>
      </c>
      <c r="D45" s="1" t="s">
        <v>267</v>
      </c>
      <c r="E45" s="1" t="s">
        <v>268</v>
      </c>
      <c r="F45" s="1" t="s">
        <v>41</v>
      </c>
      <c r="G45" s="1" t="s">
        <v>269</v>
      </c>
      <c r="H45" s="1" t="s">
        <v>60</v>
      </c>
      <c r="I45" s="1" t="s">
        <v>61</v>
      </c>
      <c r="J45" s="1" t="s">
        <v>31</v>
      </c>
      <c r="K45" s="1" t="s">
        <v>32</v>
      </c>
      <c r="L45" s="1">
        <v>2018</v>
      </c>
      <c r="M45" s="1">
        <v>8</v>
      </c>
      <c r="N45" s="1">
        <v>85000</v>
      </c>
      <c r="O45" s="1">
        <v>12</v>
      </c>
      <c r="P45" s="1">
        <v>10200</v>
      </c>
      <c r="Q45" s="1">
        <v>91</v>
      </c>
      <c r="R45" s="1" t="s">
        <v>45</v>
      </c>
      <c r="S45" s="1" t="s">
        <v>34</v>
      </c>
      <c r="T45" s="1" t="s">
        <v>46</v>
      </c>
      <c r="U45" s="1" t="s">
        <v>47</v>
      </c>
      <c r="V45" s="1">
        <v>6</v>
      </c>
      <c r="W45" s="1">
        <v>6</v>
      </c>
      <c r="X45" s="4" t="str">
        <f t="shared" si="0"/>
        <v>Available</v>
      </c>
      <c r="Y45" s="4" t="str">
        <f t="shared" si="1"/>
        <v>Available</v>
      </c>
      <c r="Z45" s="4" t="str">
        <f t="shared" si="2"/>
        <v>Available</v>
      </c>
      <c r="AA45" s="4" t="str">
        <f t="shared" si="3"/>
        <v>Available</v>
      </c>
      <c r="AB45" s="4" t="str">
        <f t="shared" si="4"/>
        <v>Swetha R</v>
      </c>
      <c r="AC45" s="4">
        <f t="shared" si="5"/>
        <v>10200</v>
      </c>
      <c r="AD45" s="4" t="str">
        <f t="shared" si="6"/>
        <v>Medium</v>
      </c>
      <c r="AE45" s="4" t="str">
        <f t="shared" si="7"/>
        <v>Senior</v>
      </c>
      <c r="AF45" s="4" t="str">
        <f t="shared" si="8"/>
        <v>Top Performer</v>
      </c>
      <c r="AG45" s="4"/>
    </row>
    <row r="46" spans="1:33">
      <c r="A46" s="1">
        <v>1045</v>
      </c>
      <c r="B46" s="1" t="s">
        <v>270</v>
      </c>
      <c r="C46" s="1" t="s">
        <v>24</v>
      </c>
      <c r="D46" s="1" t="s">
        <v>271</v>
      </c>
      <c r="E46" s="1" t="s">
        <v>272</v>
      </c>
      <c r="F46" s="1" t="s">
        <v>27</v>
      </c>
      <c r="G46" s="1" t="s">
        <v>273</v>
      </c>
      <c r="H46" s="1" t="s">
        <v>103</v>
      </c>
      <c r="I46" s="1" t="s">
        <v>104</v>
      </c>
      <c r="J46" s="1" t="s">
        <v>53</v>
      </c>
      <c r="K46" s="1" t="s">
        <v>32</v>
      </c>
      <c r="L46" s="1">
        <v>2017</v>
      </c>
      <c r="M46" s="1">
        <v>9</v>
      </c>
      <c r="N46" s="1">
        <v>102000</v>
      </c>
      <c r="O46" s="1">
        <v>15</v>
      </c>
      <c r="P46" s="1">
        <v>15300</v>
      </c>
      <c r="Q46" s="1">
        <v>96</v>
      </c>
      <c r="R46" s="1" t="s">
        <v>45</v>
      </c>
      <c r="S46" s="1" t="s">
        <v>34</v>
      </c>
      <c r="T46" s="1" t="s">
        <v>35</v>
      </c>
      <c r="U46" s="1" t="s">
        <v>36</v>
      </c>
      <c r="V46" s="1">
        <v>8</v>
      </c>
      <c r="W46" s="1">
        <v>5</v>
      </c>
      <c r="X46" s="4" t="str">
        <f t="shared" si="0"/>
        <v>Available</v>
      </c>
      <c r="Y46" s="4" t="str">
        <f t="shared" si="1"/>
        <v>Available</v>
      </c>
      <c r="Z46" s="4" t="str">
        <f t="shared" si="2"/>
        <v>Available</v>
      </c>
      <c r="AA46" s="4" t="str">
        <f t="shared" si="3"/>
        <v>Available</v>
      </c>
      <c r="AB46" s="4" t="str">
        <f t="shared" si="4"/>
        <v>Ashwin Kumar</v>
      </c>
      <c r="AC46" s="4">
        <f t="shared" si="5"/>
        <v>15300</v>
      </c>
      <c r="AD46" s="4" t="str">
        <f t="shared" si="6"/>
        <v>High</v>
      </c>
      <c r="AE46" s="4" t="str">
        <f t="shared" si="7"/>
        <v>Senior</v>
      </c>
      <c r="AF46" s="4" t="str">
        <f t="shared" si="8"/>
        <v>Top Performer</v>
      </c>
      <c r="AG46" s="4"/>
    </row>
    <row r="47" spans="1:33">
      <c r="A47" s="1">
        <v>1046</v>
      </c>
      <c r="B47" s="1" t="s">
        <v>274</v>
      </c>
      <c r="C47" s="1" t="s">
        <v>275</v>
      </c>
      <c r="D47" s="1" t="s">
        <v>276</v>
      </c>
      <c r="E47" s="1" t="s">
        <v>277</v>
      </c>
      <c r="F47" s="1" t="s">
        <v>58</v>
      </c>
      <c r="G47" s="1" t="s">
        <v>278</v>
      </c>
      <c r="H47" s="1" t="s">
        <v>255</v>
      </c>
      <c r="I47" s="1" t="s">
        <v>104</v>
      </c>
      <c r="J47" s="1" t="s">
        <v>62</v>
      </c>
      <c r="K47" s="1" t="s">
        <v>32</v>
      </c>
      <c r="L47" s="1">
        <v>2016</v>
      </c>
      <c r="M47" s="1">
        <v>10</v>
      </c>
      <c r="N47" s="1">
        <v>110000</v>
      </c>
      <c r="O47" s="1">
        <v>15</v>
      </c>
      <c r="P47" s="1">
        <v>16500</v>
      </c>
      <c r="Q47" s="1">
        <v>94</v>
      </c>
      <c r="R47" s="1" t="s">
        <v>45</v>
      </c>
      <c r="S47" s="1" t="s">
        <v>34</v>
      </c>
      <c r="T47" s="1" t="s">
        <v>64</v>
      </c>
      <c r="U47" s="1" t="s">
        <v>65</v>
      </c>
      <c r="V47" s="1">
        <v>7</v>
      </c>
      <c r="W47" s="1">
        <v>8</v>
      </c>
      <c r="X47" s="4" t="str">
        <f t="shared" si="0"/>
        <v>Available</v>
      </c>
      <c r="Y47" s="4" t="str">
        <f t="shared" si="1"/>
        <v>Available</v>
      </c>
      <c r="Z47" s="4" t="str">
        <f t="shared" si="2"/>
        <v>Available</v>
      </c>
      <c r="AA47" s="4" t="str">
        <f t="shared" si="3"/>
        <v>Available</v>
      </c>
      <c r="AB47" s="4" t="str">
        <f t="shared" si="4"/>
        <v>Monica D</v>
      </c>
      <c r="AC47" s="4">
        <f t="shared" si="5"/>
        <v>16500</v>
      </c>
      <c r="AD47" s="4" t="str">
        <f t="shared" si="6"/>
        <v>High</v>
      </c>
      <c r="AE47" s="4" t="str">
        <f t="shared" si="7"/>
        <v>Senior</v>
      </c>
      <c r="AF47" s="4" t="str">
        <f t="shared" si="8"/>
        <v>Top Performer</v>
      </c>
      <c r="AG47" s="4"/>
    </row>
    <row r="48" spans="1:33">
      <c r="A48" s="1">
        <v>1047</v>
      </c>
      <c r="B48" s="1" t="s">
        <v>279</v>
      </c>
      <c r="C48" s="1" t="s">
        <v>280</v>
      </c>
      <c r="D48" s="1" t="s">
        <v>281</v>
      </c>
      <c r="E48" s="1" t="s">
        <v>282</v>
      </c>
      <c r="F48" s="1" t="s">
        <v>80</v>
      </c>
      <c r="G48" s="1" t="s">
        <v>81</v>
      </c>
      <c r="H48" s="1" t="s">
        <v>172</v>
      </c>
      <c r="I48" s="1" t="s">
        <v>173</v>
      </c>
      <c r="J48" s="1" t="s">
        <v>62</v>
      </c>
      <c r="K48" s="1" t="s">
        <v>32</v>
      </c>
      <c r="L48" s="1">
        <v>2024</v>
      </c>
      <c r="M48" s="1">
        <v>2</v>
      </c>
      <c r="N48" s="1">
        <v>43000</v>
      </c>
      <c r="O48" s="1">
        <v>5</v>
      </c>
      <c r="P48" s="1">
        <v>2150</v>
      </c>
      <c r="Q48" s="1">
        <v>69</v>
      </c>
      <c r="R48" s="1" t="s">
        <v>283</v>
      </c>
      <c r="S48" s="1" t="s">
        <v>34</v>
      </c>
      <c r="T48" s="1" t="s">
        <v>46</v>
      </c>
      <c r="U48" s="1" t="s">
        <v>82</v>
      </c>
      <c r="V48" s="1">
        <v>2</v>
      </c>
      <c r="W48" s="1">
        <v>18</v>
      </c>
      <c r="X48" s="4" t="str">
        <f t="shared" si="0"/>
        <v>Available</v>
      </c>
      <c r="Y48" s="4" t="str">
        <f t="shared" si="1"/>
        <v>Available</v>
      </c>
      <c r="Z48" s="4" t="str">
        <f t="shared" si="2"/>
        <v>Available</v>
      </c>
      <c r="AA48" s="4" t="str">
        <f t="shared" si="3"/>
        <v>Available</v>
      </c>
      <c r="AB48" s="4" t="str">
        <f t="shared" si="4"/>
        <v>Tarun Shah</v>
      </c>
      <c r="AC48" s="4">
        <f t="shared" si="5"/>
        <v>2150</v>
      </c>
      <c r="AD48" s="4" t="str">
        <f t="shared" si="6"/>
        <v>Low</v>
      </c>
      <c r="AE48" s="4" t="str">
        <f t="shared" si="7"/>
        <v>Junior</v>
      </c>
      <c r="AF48" s="4" t="str">
        <f t="shared" si="8"/>
        <v>Needs Improvement</v>
      </c>
      <c r="AG48" s="4"/>
    </row>
    <row r="49" spans="1:33">
      <c r="A49" s="1">
        <v>1048</v>
      </c>
      <c r="B49" s="1" t="s">
        <v>284</v>
      </c>
      <c r="C49" s="1" t="s">
        <v>218</v>
      </c>
      <c r="D49" s="1" t="s">
        <v>285</v>
      </c>
      <c r="E49" s="1" t="s">
        <v>286</v>
      </c>
      <c r="F49" s="1" t="s">
        <v>27</v>
      </c>
      <c r="G49" s="1" t="s">
        <v>287</v>
      </c>
      <c r="H49" s="1" t="s">
        <v>148</v>
      </c>
      <c r="I49" s="1" t="s">
        <v>30</v>
      </c>
      <c r="J49" s="1" t="s">
        <v>31</v>
      </c>
      <c r="K49" s="1" t="s">
        <v>32</v>
      </c>
      <c r="L49" s="1">
        <v>2020</v>
      </c>
      <c r="M49" s="1">
        <v>6</v>
      </c>
      <c r="N49" s="1">
        <v>69000</v>
      </c>
      <c r="O49" s="1">
        <v>12</v>
      </c>
      <c r="P49" s="1">
        <v>8280</v>
      </c>
      <c r="Q49" s="1">
        <v>87</v>
      </c>
      <c r="R49" s="1" t="s">
        <v>33</v>
      </c>
      <c r="S49" s="1" t="s">
        <v>34</v>
      </c>
      <c r="T49" s="1" t="s">
        <v>35</v>
      </c>
      <c r="U49" s="1" t="s">
        <v>36</v>
      </c>
      <c r="V49" s="1">
        <v>5</v>
      </c>
      <c r="W49" s="1">
        <v>11</v>
      </c>
      <c r="X49" s="4" t="str">
        <f t="shared" si="0"/>
        <v>Available</v>
      </c>
      <c r="Y49" s="4" t="str">
        <f t="shared" si="1"/>
        <v>Available</v>
      </c>
      <c r="Z49" s="4" t="str">
        <f t="shared" si="2"/>
        <v>Available</v>
      </c>
      <c r="AA49" s="4" t="str">
        <f t="shared" si="3"/>
        <v>Available</v>
      </c>
      <c r="AB49" s="4" t="str">
        <f t="shared" si="4"/>
        <v>Revathi S</v>
      </c>
      <c r="AC49" s="4">
        <f t="shared" si="5"/>
        <v>8280</v>
      </c>
      <c r="AD49" s="4" t="str">
        <f t="shared" si="6"/>
        <v>Medium</v>
      </c>
      <c r="AE49" s="4" t="str">
        <f t="shared" si="7"/>
        <v>Mid-Level</v>
      </c>
      <c r="AF49" s="4" t="str">
        <f t="shared" si="8"/>
        <v>Meets Expectations</v>
      </c>
      <c r="AG49" s="4"/>
    </row>
    <row r="50" spans="1:33">
      <c r="A50" s="1">
        <v>1049</v>
      </c>
      <c r="B50" s="1" t="s">
        <v>288</v>
      </c>
      <c r="C50" s="1" t="s">
        <v>289</v>
      </c>
      <c r="D50" s="1" t="s">
        <v>290</v>
      </c>
      <c r="E50" s="1" t="s">
        <v>291</v>
      </c>
      <c r="F50" s="1" t="s">
        <v>114</v>
      </c>
      <c r="G50" s="1" t="s">
        <v>292</v>
      </c>
      <c r="H50" s="1" t="s">
        <v>60</v>
      </c>
      <c r="I50" s="1" t="s">
        <v>61</v>
      </c>
      <c r="J50" s="1" t="s">
        <v>31</v>
      </c>
      <c r="K50" s="1" t="s">
        <v>32</v>
      </c>
      <c r="L50" s="1">
        <v>2021</v>
      </c>
      <c r="M50" s="1">
        <v>5</v>
      </c>
      <c r="N50" s="1">
        <v>60000</v>
      </c>
      <c r="O50" s="1">
        <v>12</v>
      </c>
      <c r="P50" s="1">
        <v>7200</v>
      </c>
      <c r="Q50" s="1">
        <v>85</v>
      </c>
      <c r="R50" s="1" t="s">
        <v>33</v>
      </c>
      <c r="S50" s="1" t="s">
        <v>34</v>
      </c>
      <c r="T50" s="1" t="s">
        <v>46</v>
      </c>
      <c r="U50" s="1" t="s">
        <v>116</v>
      </c>
      <c r="V50" s="1">
        <v>4</v>
      </c>
      <c r="W50" s="1">
        <v>13</v>
      </c>
      <c r="X50" s="4" t="str">
        <f t="shared" si="0"/>
        <v>Available</v>
      </c>
      <c r="Y50" s="4" t="str">
        <f t="shared" si="1"/>
        <v>Available</v>
      </c>
      <c r="Z50" s="4" t="str">
        <f t="shared" si="2"/>
        <v>Available</v>
      </c>
      <c r="AA50" s="4" t="str">
        <f t="shared" si="3"/>
        <v>Available</v>
      </c>
      <c r="AB50" s="4" t="str">
        <f t="shared" si="4"/>
        <v>Imran Khan</v>
      </c>
      <c r="AC50" s="4">
        <f t="shared" si="5"/>
        <v>7200</v>
      </c>
      <c r="AD50" s="4" t="str">
        <f t="shared" si="6"/>
        <v>Medium</v>
      </c>
      <c r="AE50" s="4" t="str">
        <f t="shared" si="7"/>
        <v>Mid-Level</v>
      </c>
      <c r="AF50" s="4" t="str">
        <f t="shared" si="8"/>
        <v>Meets Expectations</v>
      </c>
      <c r="AG50" s="4"/>
    </row>
    <row r="51" spans="1:33">
      <c r="A51" s="1">
        <v>1050</v>
      </c>
      <c r="B51" s="1" t="s">
        <v>293</v>
      </c>
      <c r="C51" s="1" t="s">
        <v>257</v>
      </c>
      <c r="D51" s="1" t="s">
        <v>294</v>
      </c>
      <c r="E51" s="1" t="s">
        <v>295</v>
      </c>
      <c r="F51" s="1" t="s">
        <v>121</v>
      </c>
      <c r="G51" s="1" t="s">
        <v>296</v>
      </c>
      <c r="H51" s="1" t="s">
        <v>43</v>
      </c>
      <c r="I51" s="1" t="s">
        <v>44</v>
      </c>
      <c r="J51" s="1" t="s">
        <v>53</v>
      </c>
      <c r="K51" s="1" t="s">
        <v>32</v>
      </c>
      <c r="L51" s="1">
        <v>2019</v>
      </c>
      <c r="M51" s="1">
        <v>7</v>
      </c>
      <c r="N51" s="1">
        <v>81000</v>
      </c>
      <c r="O51" s="1">
        <v>12</v>
      </c>
      <c r="P51" s="1">
        <v>9720</v>
      </c>
      <c r="Q51" s="1">
        <v>90</v>
      </c>
      <c r="R51" s="1" t="s">
        <v>45</v>
      </c>
      <c r="S51" s="1" t="s">
        <v>34</v>
      </c>
      <c r="T51" s="1" t="s">
        <v>46</v>
      </c>
      <c r="U51" s="1" t="s">
        <v>123</v>
      </c>
      <c r="V51" s="1">
        <v>6</v>
      </c>
      <c r="W51" s="1">
        <v>9</v>
      </c>
      <c r="X51" s="4" t="str">
        <f t="shared" si="0"/>
        <v>Available</v>
      </c>
      <c r="Y51" s="4" t="str">
        <f t="shared" si="1"/>
        <v>Available</v>
      </c>
      <c r="Z51" s="4" t="str">
        <f t="shared" si="2"/>
        <v>Available</v>
      </c>
      <c r="AA51" s="4" t="str">
        <f t="shared" si="3"/>
        <v>Available</v>
      </c>
      <c r="AB51" s="4" t="str">
        <f t="shared" si="4"/>
        <v>Kavya R</v>
      </c>
      <c r="AC51" s="4">
        <f t="shared" si="5"/>
        <v>9720</v>
      </c>
      <c r="AD51" s="4" t="str">
        <f t="shared" si="6"/>
        <v>Medium</v>
      </c>
      <c r="AE51" s="4" t="str">
        <f t="shared" si="7"/>
        <v>Mid-Level</v>
      </c>
      <c r="AF51" s="4" t="str">
        <f t="shared" si="8"/>
        <v>Top Performer</v>
      </c>
      <c r="AG51" s="4"/>
    </row>
  </sheetData>
  <conditionalFormatting sqref="N2:N51">
    <cfRule type="cellIs" dxfId="1" priority="2" operator="greaterThan">
      <formula>90000</formula>
    </cfRule>
  </conditionalFormatting>
  <conditionalFormatting sqref="Q2:Q51">
    <cfRule type="cellIs" dxfId="0" priority="1" operator="lessThan">
      <formula>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F5C7-75EA-493D-A9F2-BB081F004F00}">
  <dimension ref="A3:F80"/>
  <sheetViews>
    <sheetView topLeftCell="A31" workbookViewId="0">
      <selection activeCell="J45" sqref="J45"/>
    </sheetView>
  </sheetViews>
  <sheetFormatPr defaultRowHeight="15"/>
  <cols>
    <col min="1" max="1" width="13.140625" bestFit="1" customWidth="1"/>
    <col min="2" max="2" width="21.28515625" bestFit="1" customWidth="1"/>
    <col min="5" max="5" width="15" bestFit="1" customWidth="1"/>
    <col min="6" max="6" width="25.85546875" bestFit="1" customWidth="1"/>
    <col min="9" max="9" width="12.42578125" bestFit="1" customWidth="1"/>
    <col min="10" max="10" width="21.28515625" bestFit="1" customWidth="1"/>
  </cols>
  <sheetData>
    <row r="3" spans="1:6">
      <c r="A3" s="5" t="s">
        <v>5</v>
      </c>
      <c r="B3" t="s">
        <v>306</v>
      </c>
      <c r="E3" s="5" t="s">
        <v>5</v>
      </c>
      <c r="F3" t="s">
        <v>307</v>
      </c>
    </row>
    <row r="4" spans="1:6">
      <c r="A4" t="s">
        <v>58</v>
      </c>
      <c r="B4" s="6">
        <v>8</v>
      </c>
      <c r="E4" t="s">
        <v>58</v>
      </c>
      <c r="F4" s="6">
        <v>572000</v>
      </c>
    </row>
    <row r="5" spans="1:6">
      <c r="A5" t="s">
        <v>41</v>
      </c>
      <c r="B5" s="6">
        <v>6</v>
      </c>
      <c r="E5" t="s">
        <v>41</v>
      </c>
      <c r="F5" s="6">
        <v>377000</v>
      </c>
    </row>
    <row r="6" spans="1:6">
      <c r="A6" t="s">
        <v>27</v>
      </c>
      <c r="B6" s="6">
        <v>18</v>
      </c>
      <c r="E6" t="s">
        <v>27</v>
      </c>
      <c r="F6" s="6">
        <v>1435000</v>
      </c>
    </row>
    <row r="7" spans="1:6">
      <c r="A7" t="s">
        <v>121</v>
      </c>
      <c r="B7" s="6">
        <v>5</v>
      </c>
      <c r="E7" t="s">
        <v>121</v>
      </c>
      <c r="F7" s="6">
        <v>351000</v>
      </c>
    </row>
    <row r="8" spans="1:6">
      <c r="A8" t="s">
        <v>114</v>
      </c>
      <c r="B8" s="6">
        <v>6</v>
      </c>
      <c r="E8" t="s">
        <v>114</v>
      </c>
      <c r="F8" s="6">
        <v>376000</v>
      </c>
    </row>
    <row r="9" spans="1:6">
      <c r="A9" t="s">
        <v>80</v>
      </c>
      <c r="B9" s="6">
        <v>7</v>
      </c>
      <c r="E9" t="s">
        <v>80</v>
      </c>
      <c r="F9" s="6">
        <v>450000</v>
      </c>
    </row>
    <row r="10" spans="1:6">
      <c r="A10" t="s">
        <v>308</v>
      </c>
      <c r="B10" s="6">
        <v>50</v>
      </c>
      <c r="E10" t="s">
        <v>308</v>
      </c>
      <c r="F10" s="6">
        <v>3561000</v>
      </c>
    </row>
    <row r="15" spans="1:6">
      <c r="A15" s="5" t="s">
        <v>5</v>
      </c>
      <c r="B15" t="s">
        <v>309</v>
      </c>
      <c r="E15" s="5" t="s">
        <v>17</v>
      </c>
      <c r="F15" t="s">
        <v>306</v>
      </c>
    </row>
    <row r="16" spans="1:6">
      <c r="A16" t="s">
        <v>58</v>
      </c>
      <c r="B16" s="6">
        <v>61580</v>
      </c>
      <c r="E16" t="s">
        <v>63</v>
      </c>
      <c r="F16" s="6">
        <v>9</v>
      </c>
    </row>
    <row r="17" spans="1:6">
      <c r="A17" t="s">
        <v>41</v>
      </c>
      <c r="B17" s="6">
        <v>43490</v>
      </c>
      <c r="E17" t="s">
        <v>45</v>
      </c>
      <c r="F17" s="6">
        <v>18</v>
      </c>
    </row>
    <row r="18" spans="1:6">
      <c r="A18" t="s">
        <v>27</v>
      </c>
      <c r="B18" s="6">
        <v>183910</v>
      </c>
      <c r="E18" t="s">
        <v>33</v>
      </c>
      <c r="F18" s="6">
        <v>22</v>
      </c>
    </row>
    <row r="19" spans="1:6">
      <c r="A19" t="s">
        <v>121</v>
      </c>
      <c r="B19" s="6">
        <v>42560</v>
      </c>
      <c r="E19" t="s">
        <v>283</v>
      </c>
      <c r="F19" s="6">
        <v>1</v>
      </c>
    </row>
    <row r="20" spans="1:6">
      <c r="A20" t="s">
        <v>114</v>
      </c>
      <c r="B20" s="6">
        <v>37030</v>
      </c>
      <c r="E20" t="s">
        <v>308</v>
      </c>
      <c r="F20" s="6">
        <v>50</v>
      </c>
    </row>
    <row r="21" spans="1:6">
      <c r="A21" t="s">
        <v>80</v>
      </c>
      <c r="B21" s="6">
        <v>45240</v>
      </c>
    </row>
    <row r="22" spans="1:6">
      <c r="A22" t="s">
        <v>308</v>
      </c>
      <c r="B22" s="6">
        <v>413810</v>
      </c>
    </row>
    <row r="27" spans="1:6">
      <c r="A27" s="5" t="s">
        <v>9</v>
      </c>
      <c r="B27" t="s">
        <v>306</v>
      </c>
      <c r="E27" s="5" t="s">
        <v>8</v>
      </c>
      <c r="F27" t="s">
        <v>306</v>
      </c>
    </row>
    <row r="28" spans="1:6">
      <c r="A28" t="s">
        <v>31</v>
      </c>
      <c r="B28" s="6">
        <v>23</v>
      </c>
      <c r="E28" t="s">
        <v>138</v>
      </c>
      <c r="F28" s="6">
        <v>3</v>
      </c>
    </row>
    <row r="29" spans="1:6">
      <c r="A29" t="s">
        <v>62</v>
      </c>
      <c r="B29" s="6">
        <v>17</v>
      </c>
      <c r="E29" t="s">
        <v>173</v>
      </c>
      <c r="F29" s="6">
        <v>2</v>
      </c>
    </row>
    <row r="30" spans="1:6">
      <c r="A30" t="s">
        <v>53</v>
      </c>
      <c r="B30" s="6">
        <v>10</v>
      </c>
      <c r="E30" t="s">
        <v>44</v>
      </c>
      <c r="F30" s="6">
        <v>9</v>
      </c>
    </row>
    <row r="31" spans="1:6">
      <c r="A31" t="s">
        <v>308</v>
      </c>
      <c r="B31" s="6">
        <v>50</v>
      </c>
      <c r="E31" t="s">
        <v>97</v>
      </c>
      <c r="F31" s="6">
        <v>5</v>
      </c>
    </row>
    <row r="32" spans="1:6">
      <c r="E32" t="s">
        <v>104</v>
      </c>
      <c r="F32" s="6">
        <v>7</v>
      </c>
    </row>
    <row r="33" spans="1:6">
      <c r="E33" t="s">
        <v>30</v>
      </c>
      <c r="F33" s="6">
        <v>15</v>
      </c>
    </row>
    <row r="34" spans="1:6">
      <c r="E34" t="s">
        <v>61</v>
      </c>
      <c r="F34" s="6">
        <v>7</v>
      </c>
    </row>
    <row r="35" spans="1:6">
      <c r="E35" t="s">
        <v>189</v>
      </c>
      <c r="F35" s="6">
        <v>2</v>
      </c>
    </row>
    <row r="36" spans="1:6">
      <c r="E36" t="s">
        <v>308</v>
      </c>
      <c r="F36" s="6">
        <v>50</v>
      </c>
    </row>
    <row r="39" spans="1:6">
      <c r="A39" s="5" t="s">
        <v>11</v>
      </c>
      <c r="B39" t="s">
        <v>306</v>
      </c>
      <c r="E39" s="5" t="s">
        <v>304</v>
      </c>
      <c r="F39" t="s">
        <v>306</v>
      </c>
    </row>
    <row r="40" spans="1:6">
      <c r="A40">
        <v>2016</v>
      </c>
      <c r="B40" s="6">
        <v>4</v>
      </c>
      <c r="E40" t="s">
        <v>310</v>
      </c>
      <c r="F40" s="6">
        <v>14</v>
      </c>
    </row>
    <row r="41" spans="1:6">
      <c r="A41">
        <v>2017</v>
      </c>
      <c r="B41" s="6">
        <v>5</v>
      </c>
      <c r="E41" t="s">
        <v>311</v>
      </c>
      <c r="F41" s="6">
        <v>21</v>
      </c>
    </row>
    <row r="42" spans="1:6">
      <c r="A42">
        <v>2018</v>
      </c>
      <c r="B42" s="6">
        <v>6</v>
      </c>
      <c r="E42" t="s">
        <v>312</v>
      </c>
      <c r="F42" s="6">
        <v>15</v>
      </c>
    </row>
    <row r="43" spans="1:6">
      <c r="A43">
        <v>2019</v>
      </c>
      <c r="B43" s="6">
        <v>7</v>
      </c>
      <c r="E43" t="s">
        <v>308</v>
      </c>
      <c r="F43" s="6">
        <v>50</v>
      </c>
    </row>
    <row r="44" spans="1:6">
      <c r="A44">
        <v>2020</v>
      </c>
      <c r="B44" s="6">
        <v>7</v>
      </c>
    </row>
    <row r="45" spans="1:6">
      <c r="A45">
        <v>2021</v>
      </c>
      <c r="B45" s="6">
        <v>7</v>
      </c>
    </row>
    <row r="46" spans="1:6">
      <c r="A46">
        <v>2022</v>
      </c>
      <c r="B46" s="6">
        <v>6</v>
      </c>
    </row>
    <row r="47" spans="1:6">
      <c r="A47">
        <v>2023</v>
      </c>
      <c r="B47" s="6">
        <v>5</v>
      </c>
    </row>
    <row r="48" spans="1:6">
      <c r="A48">
        <v>2024</v>
      </c>
      <c r="B48" s="6">
        <v>3</v>
      </c>
    </row>
    <row r="49" spans="1:6">
      <c r="A49" t="s">
        <v>308</v>
      </c>
      <c r="B49" s="6">
        <v>50</v>
      </c>
    </row>
    <row r="51" spans="1:6">
      <c r="A51" s="5" t="s">
        <v>303</v>
      </c>
      <c r="B51" t="s">
        <v>306</v>
      </c>
    </row>
    <row r="52" spans="1:6">
      <c r="A52" t="s">
        <v>313</v>
      </c>
      <c r="B52" s="6">
        <v>8</v>
      </c>
    </row>
    <row r="53" spans="1:6">
      <c r="A53" t="s">
        <v>314</v>
      </c>
      <c r="B53" s="6">
        <v>15</v>
      </c>
    </row>
    <row r="54" spans="1:6">
      <c r="A54" t="s">
        <v>315</v>
      </c>
      <c r="B54" s="6">
        <v>27</v>
      </c>
    </row>
    <row r="55" spans="1:6">
      <c r="A55" t="s">
        <v>308</v>
      </c>
      <c r="B55" s="6">
        <v>50</v>
      </c>
    </row>
    <row r="63" spans="1:6">
      <c r="A63" s="5" t="s">
        <v>5</v>
      </c>
      <c r="B63" t="s">
        <v>316</v>
      </c>
      <c r="E63" s="5" t="s">
        <v>3</v>
      </c>
      <c r="F63" t="s">
        <v>317</v>
      </c>
    </row>
    <row r="64" spans="1:6">
      <c r="A64" t="s">
        <v>58</v>
      </c>
      <c r="B64" s="6">
        <v>83.875</v>
      </c>
      <c r="E64" t="s">
        <v>180</v>
      </c>
      <c r="F64" s="6">
        <v>97</v>
      </c>
    </row>
    <row r="65" spans="1:6">
      <c r="A65" t="s">
        <v>41</v>
      </c>
      <c r="B65" s="6">
        <v>86.666666666666671</v>
      </c>
      <c r="E65" t="s">
        <v>271</v>
      </c>
      <c r="F65" s="6">
        <v>96</v>
      </c>
    </row>
    <row r="66" spans="1:6">
      <c r="A66" t="s">
        <v>27</v>
      </c>
      <c r="B66" s="6">
        <v>89.388888888888886</v>
      </c>
      <c r="E66" t="s">
        <v>156</v>
      </c>
      <c r="F66" s="6">
        <v>96</v>
      </c>
    </row>
    <row r="67" spans="1:6">
      <c r="A67" t="s">
        <v>121</v>
      </c>
      <c r="B67" s="6">
        <v>87.8</v>
      </c>
      <c r="E67" t="s">
        <v>50</v>
      </c>
      <c r="F67" s="6">
        <v>95</v>
      </c>
    </row>
    <row r="68" spans="1:6">
      <c r="A68" t="s">
        <v>114</v>
      </c>
      <c r="B68" s="6">
        <v>82.333333333333329</v>
      </c>
      <c r="E68" t="s">
        <v>206</v>
      </c>
      <c r="F68" s="6">
        <v>95</v>
      </c>
    </row>
    <row r="69" spans="1:6">
      <c r="A69" t="s">
        <v>80</v>
      </c>
      <c r="B69" s="6">
        <v>80.571428571428569</v>
      </c>
      <c r="E69" t="s">
        <v>258</v>
      </c>
      <c r="F69" s="6">
        <v>94</v>
      </c>
    </row>
    <row r="70" spans="1:6">
      <c r="A70" t="s">
        <v>308</v>
      </c>
      <c r="B70" s="6">
        <v>85.94</v>
      </c>
      <c r="E70" t="s">
        <v>88</v>
      </c>
      <c r="F70" s="6">
        <v>94</v>
      </c>
    </row>
    <row r="71" spans="1:6">
      <c r="E71" t="s">
        <v>276</v>
      </c>
      <c r="F71" s="6">
        <v>94</v>
      </c>
    </row>
    <row r="72" spans="1:6">
      <c r="E72" t="s">
        <v>214</v>
      </c>
      <c r="F72" s="6">
        <v>93</v>
      </c>
    </row>
    <row r="73" spans="1:6">
      <c r="E73" t="s">
        <v>125</v>
      </c>
      <c r="F73" s="6">
        <v>93</v>
      </c>
    </row>
    <row r="74" spans="1:6">
      <c r="E74" t="s">
        <v>308</v>
      </c>
      <c r="F74" s="6">
        <v>947</v>
      </c>
    </row>
    <row r="75" spans="1:6">
      <c r="A75" s="5" t="s">
        <v>19</v>
      </c>
      <c r="B75" t="s">
        <v>306</v>
      </c>
    </row>
    <row r="76" spans="1:6">
      <c r="A76" t="s">
        <v>35</v>
      </c>
      <c r="B76" s="6">
        <v>18</v>
      </c>
    </row>
    <row r="77" spans="1:6">
      <c r="A77" t="s">
        <v>64</v>
      </c>
      <c r="B77" s="6">
        <v>8</v>
      </c>
    </row>
    <row r="78" spans="1:6">
      <c r="A78" t="s">
        <v>46</v>
      </c>
      <c r="B78" s="6">
        <v>23</v>
      </c>
    </row>
    <row r="79" spans="1:6">
      <c r="A79" t="s">
        <v>318</v>
      </c>
      <c r="B79" s="6">
        <v>1</v>
      </c>
    </row>
    <row r="80" spans="1:6">
      <c r="A80" t="s">
        <v>308</v>
      </c>
      <c r="B80" s="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F8A0-CEC3-4BB5-864E-7982F73D37BF}">
  <dimension ref="A1:J3"/>
  <sheetViews>
    <sheetView showGridLines="0" workbookViewId="0">
      <selection activeCell="D2" sqref="D2"/>
    </sheetView>
  </sheetViews>
  <sheetFormatPr defaultRowHeight="15"/>
  <cols>
    <col min="1" max="1" width="32.28515625" bestFit="1" customWidth="1"/>
    <col min="4" max="4" width="35.85546875" bestFit="1" customWidth="1"/>
    <col min="7" max="7" width="45.42578125" bestFit="1" customWidth="1"/>
    <col min="10" max="10" width="28.85546875" bestFit="1" customWidth="1"/>
  </cols>
  <sheetData>
    <row r="1" spans="1:10" ht="23.25">
      <c r="A1" s="13" t="s">
        <v>319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6.25">
      <c r="A2" s="7" t="s">
        <v>320</v>
      </c>
      <c r="D2" s="8" t="s">
        <v>321</v>
      </c>
      <c r="G2" s="10" t="s">
        <v>322</v>
      </c>
      <c r="J2" s="12" t="s">
        <v>323</v>
      </c>
    </row>
    <row r="3" spans="1:10" ht="26.25">
      <c r="A3" s="7">
        <f>COUNTA(Clean_Data!A2:A51)</f>
        <v>50</v>
      </c>
      <c r="D3" s="9">
        <f>SUM(Clean_Data!N2:N51)</f>
        <v>3561000</v>
      </c>
      <c r="G3" s="11">
        <f>AVERAGE(Clean_Data!N2:N51)</f>
        <v>71220</v>
      </c>
      <c r="J3" s="12">
        <f>SUM(Clean_Data!V2:V51)</f>
        <v>235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6845-373B-4714-9B27-44D6B57A7A9A}">
  <dimension ref="A1:J11"/>
  <sheetViews>
    <sheetView showGridLines="0" workbookViewId="0">
      <selection activeCell="G25" sqref="G25"/>
    </sheetView>
  </sheetViews>
  <sheetFormatPr defaultRowHeight="15"/>
  <cols>
    <col min="1" max="1" width="35.85546875" bestFit="1" customWidth="1"/>
    <col min="4" max="4" width="40.28515625" bestFit="1" customWidth="1"/>
    <col min="7" max="7" width="39.140625" bestFit="1" customWidth="1"/>
    <col min="10" max="10" width="36.5703125" bestFit="1" customWidth="1"/>
  </cols>
  <sheetData>
    <row r="1" spans="1:10" ht="23.25">
      <c r="A1" s="14" t="s">
        <v>324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3.25">
      <c r="A2" s="15" t="s">
        <v>321</v>
      </c>
      <c r="B2" s="3"/>
      <c r="C2" s="3"/>
      <c r="D2" s="17" t="s">
        <v>322</v>
      </c>
      <c r="E2" s="3"/>
      <c r="F2" s="3"/>
      <c r="G2" s="18" t="s">
        <v>325</v>
      </c>
      <c r="H2" s="3"/>
      <c r="I2" s="3"/>
      <c r="J2" s="19" t="s">
        <v>326</v>
      </c>
    </row>
    <row r="3" spans="1:10" ht="23.25">
      <c r="A3" s="30">
        <f>SUM(Clean_Data!N2:N51)</f>
        <v>3561000</v>
      </c>
      <c r="B3" s="3"/>
      <c r="C3" s="3"/>
      <c r="D3" s="31">
        <f>AVERAGE(Clean_Data!N2:N51)</f>
        <v>71220</v>
      </c>
      <c r="E3" s="3"/>
      <c r="F3" s="3"/>
      <c r="G3" s="18">
        <f>MAX(Clean_Data!N2:N51)</f>
        <v>125000</v>
      </c>
      <c r="H3" s="3"/>
      <c r="I3" s="3"/>
      <c r="J3" s="19">
        <f>SUM(Clean_Data!P2:P51)</f>
        <v>413810</v>
      </c>
    </row>
    <row r="11" spans="1:10" ht="23.25">
      <c r="D11" s="16"/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7C3B-5670-478E-B4DD-207E517BACC3}">
  <dimension ref="A1:J3"/>
  <sheetViews>
    <sheetView showGridLines="0" workbookViewId="0">
      <selection activeCell="F24" sqref="F24"/>
    </sheetView>
  </sheetViews>
  <sheetFormatPr defaultRowHeight="15"/>
  <cols>
    <col min="1" max="1" width="48.5703125" bestFit="1" customWidth="1"/>
    <col min="4" max="4" width="40.7109375" bestFit="1" customWidth="1"/>
    <col min="7" max="7" width="45.28515625" bestFit="1" customWidth="1"/>
    <col min="10" max="10" width="28.5703125" bestFit="1" customWidth="1"/>
  </cols>
  <sheetData>
    <row r="1" spans="1:10" ht="23.25">
      <c r="A1" s="20" t="s">
        <v>327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3.25">
      <c r="A2" s="21" t="s">
        <v>328</v>
      </c>
      <c r="B2" s="22"/>
      <c r="C2" s="22"/>
      <c r="D2" s="23" t="s">
        <v>329</v>
      </c>
      <c r="E2" s="22"/>
      <c r="F2" s="22"/>
      <c r="G2" s="24" t="s">
        <v>330</v>
      </c>
      <c r="H2" s="22"/>
      <c r="I2" s="22"/>
      <c r="J2" s="25" t="s">
        <v>320</v>
      </c>
    </row>
    <row r="3" spans="1:10" ht="23.25">
      <c r="A3" s="21">
        <f>AVERAGE(Clean_Data!Q2:Q51)</f>
        <v>85.94</v>
      </c>
      <c r="B3" s="22"/>
      <c r="C3" s="22"/>
      <c r="D3" s="23">
        <f>MAX(Clean_Data!Q2:Q51)</f>
        <v>97</v>
      </c>
      <c r="E3" s="22"/>
      <c r="F3" s="22"/>
      <c r="G3" s="24">
        <f>COUNTIF(Clean_Data!Q2:Q51,"&gt;=80")</f>
        <v>40</v>
      </c>
      <c r="H3" s="22"/>
      <c r="I3" s="22"/>
      <c r="J3" s="25">
        <f>COUNTA(Clean_Data!A2:A51)</f>
        <v>50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AF21-8428-4D08-8E44-B70B47639EFA}">
  <dimension ref="A1:J3"/>
  <sheetViews>
    <sheetView showGridLines="0" tabSelected="1" workbookViewId="0">
      <selection activeCell="F6" sqref="F6"/>
    </sheetView>
  </sheetViews>
  <sheetFormatPr defaultRowHeight="15"/>
  <cols>
    <col min="1" max="1" width="25" bestFit="1" customWidth="1"/>
    <col min="4" max="4" width="29.7109375" bestFit="1" customWidth="1"/>
    <col min="7" max="7" width="26.7109375" bestFit="1" customWidth="1"/>
    <col min="10" max="10" width="28.28515625" bestFit="1" customWidth="1"/>
  </cols>
  <sheetData>
    <row r="1" spans="1:10" ht="23.25">
      <c r="A1" s="26" t="s">
        <v>331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3.25">
      <c r="A2" s="27" t="s">
        <v>332</v>
      </c>
      <c r="B2" s="22"/>
      <c r="C2" s="22"/>
      <c r="D2" s="17" t="s">
        <v>333</v>
      </c>
      <c r="E2" s="22"/>
      <c r="F2" s="22"/>
      <c r="G2" s="28" t="s">
        <v>334</v>
      </c>
      <c r="H2" s="22"/>
      <c r="I2" s="22"/>
      <c r="J2" s="29" t="s">
        <v>335</v>
      </c>
    </row>
    <row r="3" spans="1:10" ht="23.25">
      <c r="A3" s="27">
        <f>COUNTA(Clean_Data!A2:A51)</f>
        <v>50</v>
      </c>
      <c r="B3" s="22"/>
      <c r="C3" s="22"/>
      <c r="D3" s="17">
        <f>AVERAGE(Clean_Data!M2:M51)</f>
        <v>6.08</v>
      </c>
      <c r="E3" s="22"/>
      <c r="F3" s="22"/>
      <c r="G3" s="28">
        <f>COUNTIF(Clean_Data!S2:S51,"Active")</f>
        <v>50</v>
      </c>
      <c r="H3" s="22"/>
      <c r="I3" s="22"/>
      <c r="J3" s="29">
        <f>COUNTA(Pivot_Analysis!A4:A12)</f>
        <v>7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2026-10-19T05:20:26Z</dcterms:created>
  <dcterms:modified xsi:type="dcterms:W3CDTF">2026-10-22T11:09:18Z</dcterms:modified>
  <cp:category/>
  <cp:contentStatus/>
</cp:coreProperties>
</file>